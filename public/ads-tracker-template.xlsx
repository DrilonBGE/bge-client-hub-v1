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williambrown/Downloads/"/>
    </mc:Choice>
  </mc:AlternateContent>
  <xr:revisionPtr revIDLastSave="0" documentId="13_ncr:1_{7D83969E-9EED-D744-B928-2161CD441745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Apr-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3" roundtripDataChecksum="uV0x3aRZERCbBpNSg00q7nMeJqwGK+3dr7wBsVKxFX0="/>
    </ext>
  </extLst>
</workbook>
</file>

<file path=xl/calcChain.xml><?xml version="1.0" encoding="utf-8"?>
<calcChain xmlns="http://schemas.openxmlformats.org/spreadsheetml/2006/main">
  <c r="AA33" i="23" l="1"/>
  <c r="AC33" i="23" s="1"/>
  <c r="X33" i="23"/>
  <c r="W33" i="23"/>
  <c r="V33" i="23"/>
  <c r="S33" i="23"/>
  <c r="P33" i="23"/>
  <c r="Q33" i="23" s="1"/>
  <c r="M33" i="23"/>
  <c r="N33" i="23" s="1"/>
  <c r="K33" i="23"/>
  <c r="J33" i="23"/>
  <c r="G33" i="23"/>
  <c r="H33" i="23" s="1"/>
  <c r="E33" i="23"/>
  <c r="D33" i="23"/>
  <c r="C33" i="23"/>
  <c r="AA32" i="23"/>
  <c r="Z32" i="23"/>
  <c r="Y32" i="23"/>
  <c r="U32" i="23"/>
  <c r="T32" i="23"/>
  <c r="R32" i="23"/>
  <c r="Q32" i="23"/>
  <c r="O32" i="23"/>
  <c r="N32" i="23"/>
  <c r="L32" i="23"/>
  <c r="K32" i="23"/>
  <c r="I32" i="23"/>
  <c r="H32" i="23"/>
  <c r="F32" i="23"/>
  <c r="AA31" i="23"/>
  <c r="Z31" i="23"/>
  <c r="Y31" i="23"/>
  <c r="U31" i="23"/>
  <c r="T31" i="23"/>
  <c r="R31" i="23"/>
  <c r="Q31" i="23"/>
  <c r="O31" i="23"/>
  <c r="N31" i="23"/>
  <c r="L31" i="23"/>
  <c r="K31" i="23"/>
  <c r="I31" i="23"/>
  <c r="H31" i="23"/>
  <c r="F31" i="23"/>
  <c r="AA30" i="23"/>
  <c r="Z30" i="23"/>
  <c r="Y30" i="23"/>
  <c r="U30" i="23"/>
  <c r="T30" i="23"/>
  <c r="R30" i="23"/>
  <c r="Q30" i="23"/>
  <c r="O30" i="23"/>
  <c r="N30" i="23"/>
  <c r="L30" i="23"/>
  <c r="K30" i="23"/>
  <c r="I30" i="23"/>
  <c r="H30" i="23"/>
  <c r="F30" i="23"/>
  <c r="AA29" i="23"/>
  <c r="Z29" i="23"/>
  <c r="Y29" i="23"/>
  <c r="U29" i="23"/>
  <c r="T29" i="23"/>
  <c r="R29" i="23"/>
  <c r="Q29" i="23"/>
  <c r="O29" i="23"/>
  <c r="N29" i="23"/>
  <c r="L29" i="23"/>
  <c r="K29" i="23"/>
  <c r="I29" i="23"/>
  <c r="H29" i="23"/>
  <c r="F29" i="23"/>
  <c r="AA28" i="23"/>
  <c r="Z28" i="23"/>
  <c r="Y28" i="23"/>
  <c r="U28" i="23"/>
  <c r="T28" i="23"/>
  <c r="R28" i="23"/>
  <c r="Q28" i="23"/>
  <c r="O28" i="23"/>
  <c r="N28" i="23"/>
  <c r="L28" i="23"/>
  <c r="K28" i="23"/>
  <c r="I28" i="23"/>
  <c r="H28" i="23"/>
  <c r="F28" i="23"/>
  <c r="AA27" i="23"/>
  <c r="Z27" i="23"/>
  <c r="Y27" i="23"/>
  <c r="U27" i="23"/>
  <c r="T27" i="23"/>
  <c r="R27" i="23"/>
  <c r="Q27" i="23"/>
  <c r="O27" i="23"/>
  <c r="N27" i="23"/>
  <c r="L27" i="23"/>
  <c r="K27" i="23"/>
  <c r="I27" i="23"/>
  <c r="H27" i="23"/>
  <c r="F27" i="23"/>
  <c r="AA26" i="23"/>
  <c r="Z26" i="23"/>
  <c r="Y26" i="23"/>
  <c r="U26" i="23"/>
  <c r="T26" i="23"/>
  <c r="R26" i="23"/>
  <c r="Q26" i="23"/>
  <c r="O26" i="23"/>
  <c r="N26" i="23"/>
  <c r="L26" i="23"/>
  <c r="K26" i="23"/>
  <c r="I26" i="23"/>
  <c r="H26" i="23"/>
  <c r="F26" i="23"/>
  <c r="AA25" i="23"/>
  <c r="Z25" i="23"/>
  <c r="Y25" i="23"/>
  <c r="U25" i="23"/>
  <c r="Q25" i="23"/>
  <c r="O25" i="23"/>
  <c r="N25" i="23"/>
  <c r="L25" i="23"/>
  <c r="K25" i="23"/>
  <c r="I25" i="23"/>
  <c r="H25" i="23"/>
  <c r="F25" i="23"/>
  <c r="AA24" i="23"/>
  <c r="Z24" i="23"/>
  <c r="Y24" i="23"/>
  <c r="U24" i="23"/>
  <c r="T24" i="23"/>
  <c r="R24" i="23"/>
  <c r="Q24" i="23"/>
  <c r="O24" i="23"/>
  <c r="N24" i="23"/>
  <c r="L24" i="23"/>
  <c r="K24" i="23"/>
  <c r="I24" i="23"/>
  <c r="H24" i="23"/>
  <c r="F24" i="23"/>
  <c r="AA23" i="23"/>
  <c r="Z23" i="23"/>
  <c r="Y23" i="23"/>
  <c r="U23" i="23"/>
  <c r="T23" i="23"/>
  <c r="R23" i="23"/>
  <c r="Q23" i="23"/>
  <c r="O23" i="23"/>
  <c r="N23" i="23"/>
  <c r="L23" i="23"/>
  <c r="K23" i="23"/>
  <c r="I23" i="23"/>
  <c r="H23" i="23"/>
  <c r="F23" i="23"/>
  <c r="AA22" i="23"/>
  <c r="Z22" i="23"/>
  <c r="Y22" i="23"/>
  <c r="U22" i="23"/>
  <c r="T22" i="23"/>
  <c r="R22" i="23"/>
  <c r="Q22" i="23"/>
  <c r="O22" i="23"/>
  <c r="N22" i="23"/>
  <c r="L22" i="23"/>
  <c r="K22" i="23"/>
  <c r="I22" i="23"/>
  <c r="H22" i="23"/>
  <c r="F22" i="23"/>
  <c r="AA21" i="23"/>
  <c r="Z21" i="23"/>
  <c r="Y21" i="23"/>
  <c r="U21" i="23"/>
  <c r="T21" i="23"/>
  <c r="R21" i="23"/>
  <c r="Q21" i="23"/>
  <c r="O21" i="23"/>
  <c r="N21" i="23"/>
  <c r="L21" i="23"/>
  <c r="K21" i="23"/>
  <c r="I21" i="23"/>
  <c r="H21" i="23"/>
  <c r="F21" i="23"/>
  <c r="AA20" i="23"/>
  <c r="Z20" i="23"/>
  <c r="Y20" i="23"/>
  <c r="U20" i="23"/>
  <c r="T20" i="23"/>
  <c r="R20" i="23"/>
  <c r="Q20" i="23"/>
  <c r="O20" i="23"/>
  <c r="N20" i="23"/>
  <c r="L20" i="23"/>
  <c r="K20" i="23"/>
  <c r="I20" i="23"/>
  <c r="H20" i="23"/>
  <c r="F20" i="23"/>
  <c r="AA19" i="23"/>
  <c r="Z19" i="23"/>
  <c r="Y19" i="23"/>
  <c r="U19" i="23"/>
  <c r="T19" i="23"/>
  <c r="R19" i="23"/>
  <c r="Q19" i="23"/>
  <c r="O19" i="23"/>
  <c r="N19" i="23"/>
  <c r="L19" i="23"/>
  <c r="K19" i="23"/>
  <c r="I19" i="23"/>
  <c r="H19" i="23"/>
  <c r="F19" i="23"/>
  <c r="AA18" i="23"/>
  <c r="Z18" i="23"/>
  <c r="U18" i="23"/>
  <c r="Q18" i="23"/>
  <c r="O18" i="23"/>
  <c r="N18" i="23"/>
  <c r="L18" i="23"/>
  <c r="K18" i="23"/>
  <c r="I18" i="23"/>
  <c r="H18" i="23"/>
  <c r="F18" i="23"/>
  <c r="AA17" i="23"/>
  <c r="Z17" i="23"/>
  <c r="U17" i="23"/>
  <c r="T17" i="23"/>
  <c r="R17" i="23"/>
  <c r="Q17" i="23"/>
  <c r="O17" i="23"/>
  <c r="N17" i="23"/>
  <c r="L17" i="23"/>
  <c r="K17" i="23"/>
  <c r="I17" i="23"/>
  <c r="H17" i="23"/>
  <c r="F17" i="23"/>
  <c r="AA16" i="23"/>
  <c r="Z16" i="23"/>
  <c r="Y16" i="23"/>
  <c r="U16" i="23"/>
  <c r="T16" i="23"/>
  <c r="R16" i="23"/>
  <c r="Q16" i="23"/>
  <c r="O16" i="23"/>
  <c r="N16" i="23"/>
  <c r="L16" i="23"/>
  <c r="K16" i="23"/>
  <c r="I16" i="23"/>
  <c r="H16" i="23"/>
  <c r="F16" i="23"/>
  <c r="AA15" i="23"/>
  <c r="Z15" i="23"/>
  <c r="Y15" i="23"/>
  <c r="U15" i="23"/>
  <c r="T15" i="23"/>
  <c r="R15" i="23"/>
  <c r="Q15" i="23"/>
  <c r="O15" i="23"/>
  <c r="N15" i="23"/>
  <c r="L15" i="23"/>
  <c r="K15" i="23"/>
  <c r="I15" i="23"/>
  <c r="H15" i="23"/>
  <c r="F15" i="23"/>
  <c r="AA14" i="23"/>
  <c r="Z14" i="23"/>
  <c r="Y14" i="23"/>
  <c r="U14" i="23"/>
  <c r="T14" i="23"/>
  <c r="R14" i="23"/>
  <c r="Q14" i="23"/>
  <c r="O14" i="23"/>
  <c r="N14" i="23"/>
  <c r="L14" i="23"/>
  <c r="K14" i="23"/>
  <c r="I14" i="23"/>
  <c r="H14" i="23"/>
  <c r="F14" i="23"/>
  <c r="AA13" i="23"/>
  <c r="Z13" i="23"/>
  <c r="Y13" i="23"/>
  <c r="U13" i="23"/>
  <c r="T13" i="23"/>
  <c r="R13" i="23"/>
  <c r="Q13" i="23"/>
  <c r="O13" i="23"/>
  <c r="N13" i="23"/>
  <c r="L13" i="23"/>
  <c r="K13" i="23"/>
  <c r="I13" i="23"/>
  <c r="H13" i="23"/>
  <c r="F13" i="23"/>
  <c r="AA12" i="23"/>
  <c r="Z12" i="23"/>
  <c r="Y12" i="23"/>
  <c r="U12" i="23"/>
  <c r="T12" i="23"/>
  <c r="R12" i="23"/>
  <c r="Q12" i="23"/>
  <c r="O12" i="23"/>
  <c r="N12" i="23"/>
  <c r="L12" i="23"/>
  <c r="K12" i="23"/>
  <c r="I12" i="23"/>
  <c r="H12" i="23"/>
  <c r="F12" i="23"/>
  <c r="AA11" i="23"/>
  <c r="Z11" i="23"/>
  <c r="U11" i="23"/>
  <c r="N11" i="23"/>
  <c r="L11" i="23"/>
  <c r="K11" i="23"/>
  <c r="I11" i="23"/>
  <c r="H11" i="23"/>
  <c r="F11" i="23"/>
  <c r="AA10" i="23"/>
  <c r="Z10" i="23"/>
  <c r="U10" i="23"/>
  <c r="T10" i="23"/>
  <c r="R10" i="23"/>
  <c r="Q10" i="23"/>
  <c r="O10" i="23"/>
  <c r="N10" i="23"/>
  <c r="L10" i="23"/>
  <c r="K10" i="23"/>
  <c r="I10" i="23"/>
  <c r="H10" i="23"/>
  <c r="F10" i="23"/>
  <c r="AA9" i="23"/>
  <c r="Z9" i="23"/>
  <c r="Y9" i="23"/>
  <c r="U9" i="23"/>
  <c r="T9" i="23"/>
  <c r="R9" i="23"/>
  <c r="Q9" i="23"/>
  <c r="O9" i="23"/>
  <c r="N9" i="23"/>
  <c r="L9" i="23"/>
  <c r="K9" i="23"/>
  <c r="I9" i="23"/>
  <c r="H9" i="23"/>
  <c r="F9" i="23"/>
  <c r="AA8" i="23"/>
  <c r="Z8" i="23"/>
  <c r="Y8" i="23"/>
  <c r="U8" i="23"/>
  <c r="T8" i="23"/>
  <c r="R8" i="23"/>
  <c r="Q8" i="23"/>
  <c r="O8" i="23"/>
  <c r="N8" i="23"/>
  <c r="L8" i="23"/>
  <c r="K8" i="23"/>
  <c r="I8" i="23"/>
  <c r="H8" i="23"/>
  <c r="F8" i="23"/>
  <c r="AA7" i="23"/>
  <c r="Z7" i="23"/>
  <c r="Y7" i="23"/>
  <c r="U7" i="23"/>
  <c r="T7" i="23"/>
  <c r="R7" i="23"/>
  <c r="Q7" i="23"/>
  <c r="O7" i="23"/>
  <c r="N7" i="23"/>
  <c r="L7" i="23"/>
  <c r="K7" i="23"/>
  <c r="I7" i="23"/>
  <c r="H7" i="23"/>
  <c r="F7" i="23"/>
  <c r="AA6" i="23"/>
  <c r="Z6" i="23"/>
  <c r="Y6" i="23"/>
  <c r="U6" i="23"/>
  <c r="T6" i="23"/>
  <c r="R6" i="23"/>
  <c r="Q6" i="23"/>
  <c r="O6" i="23"/>
  <c r="N6" i="23"/>
  <c r="L6" i="23"/>
  <c r="K6" i="23"/>
  <c r="I6" i="23"/>
  <c r="H6" i="23"/>
  <c r="F6" i="23"/>
  <c r="AA5" i="23"/>
  <c r="Z5" i="23"/>
  <c r="Y5" i="23"/>
  <c r="U5" i="23"/>
  <c r="T5" i="23"/>
  <c r="R5" i="23"/>
  <c r="Q5" i="23"/>
  <c r="O5" i="23"/>
  <c r="N5" i="23"/>
  <c r="L5" i="23"/>
  <c r="K5" i="23"/>
  <c r="I5" i="23"/>
  <c r="H5" i="23"/>
  <c r="F5" i="23"/>
  <c r="AA4" i="23"/>
  <c r="Z4" i="23"/>
  <c r="Z33" i="23" s="1"/>
  <c r="AB33" i="23" s="1"/>
  <c r="U4" i="23"/>
  <c r="N4" i="23"/>
  <c r="L4" i="23"/>
  <c r="K4" i="23"/>
  <c r="I4" i="23"/>
  <c r="H4" i="23"/>
  <c r="F4" i="23"/>
  <c r="AA3" i="23"/>
  <c r="Z3" i="23"/>
  <c r="Y3" i="23"/>
  <c r="U3" i="23"/>
  <c r="T3" i="23"/>
  <c r="R3" i="23"/>
  <c r="Q3" i="23"/>
  <c r="O3" i="23"/>
  <c r="N3" i="23"/>
  <c r="L3" i="23"/>
  <c r="K3" i="23"/>
  <c r="I3" i="23"/>
  <c r="H3" i="23"/>
  <c r="F3" i="23"/>
  <c r="O33" i="23" l="1"/>
  <c r="F33" i="23"/>
  <c r="L33" i="23"/>
  <c r="R33" i="23"/>
  <c r="Y33" i="23"/>
  <c r="I33" i="23"/>
  <c r="U33" i="23"/>
  <c r="T33" i="23"/>
</calcChain>
</file>

<file path=xl/sharedStrings.xml><?xml version="1.0" encoding="utf-8"?>
<sst xmlns="http://schemas.openxmlformats.org/spreadsheetml/2006/main" count="87" uniqueCount="46">
  <si>
    <t>Date</t>
  </si>
  <si>
    <t>Spend</t>
  </si>
  <si>
    <t>Impr</t>
  </si>
  <si>
    <t>Reach</t>
  </si>
  <si>
    <t>CPM</t>
  </si>
  <si>
    <t>Clicks</t>
  </si>
  <si>
    <t>CTR</t>
  </si>
  <si>
    <t>CPC</t>
  </si>
  <si>
    <t>Leads</t>
  </si>
  <si>
    <t>LP%</t>
  </si>
  <si>
    <t>CPL</t>
  </si>
  <si>
    <t>Calls</t>
  </si>
  <si>
    <t>Units</t>
  </si>
  <si>
    <t>CC%</t>
  </si>
  <si>
    <t>LC%</t>
  </si>
  <si>
    <t>Revenue</t>
  </si>
  <si>
    <t>Cash</t>
  </si>
  <si>
    <t>CPA</t>
  </si>
  <si>
    <t>R-P/L</t>
  </si>
  <si>
    <t>C-P/L</t>
  </si>
  <si>
    <t>R-ROI</t>
  </si>
  <si>
    <t>C-ROI</t>
  </si>
  <si>
    <t>R-x</t>
  </si>
  <si>
    <t>C-x</t>
  </si>
  <si>
    <t>T</t>
  </si>
  <si>
    <t>W</t>
  </si>
  <si>
    <t>F</t>
  </si>
  <si>
    <t>S</t>
  </si>
  <si>
    <t>M</t>
  </si>
  <si>
    <t>n/a</t>
  </si>
  <si>
    <t>Bookings</t>
  </si>
  <si>
    <t xml:space="preserve"> </t>
  </si>
  <si>
    <t>Pay Plan</t>
  </si>
  <si>
    <t>4.67x</t>
  </si>
  <si>
    <t>2.22x</t>
  </si>
  <si>
    <t>Please Note:</t>
  </si>
  <si>
    <t>Show-Rate</t>
  </si>
  <si>
    <t>Taken-Call-Cost</t>
  </si>
  <si>
    <t>VSL-Conversion-%</t>
  </si>
  <si>
    <t>Booked-Call-Cost</t>
  </si>
  <si>
    <t>Outcomes:</t>
  </si>
  <si>
    <t>This month, we spent £140,740 on YouTube ads and made back £313,010 in cash and £658,064 in revenue</t>
  </si>
  <si>
    <t>This resulted in a 2.22x cash ROI and a 4.67x revenue ROI, another great month</t>
  </si>
  <si>
    <t>Sales team performed well, closing at 29%</t>
  </si>
  <si>
    <t>Let's spend more on ads next month</t>
  </si>
  <si>
    <r>
      <t xml:space="preserve">Figures are in </t>
    </r>
    <r>
      <rPr>
        <u/>
        <sz val="8"/>
        <color theme="1"/>
        <rFont val="Calibri"/>
        <family val="2"/>
      </rPr>
      <t>British Pounds</t>
    </r>
    <r>
      <rPr>
        <sz val="8"/>
        <color theme="1"/>
        <rFont val="Calibri"/>
        <family val="2"/>
      </rPr>
      <t xml:space="preserve"> not US Dollars [despite the $ sign]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</si>
</sst>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&quot;$&quot;#,##0"/>
    <numFmt numFmtId="166" formatCode="m&quot;/&quot;d&quot;/&quot;yy"/>
    <numFmt numFmtId="167" formatCode="&quot;$&quot;#,##0.00"/>
    <numFmt numFmtId="168" formatCode="0.0%"/>
    <numFmt numFmtId="172" formatCode="&quot;£&quot;#,##0.00"/>
  </numFmts>
  <fonts count="10" x14ac:knownFonts="1">
    <font>
      <sz val="10"/>
      <color rgb="FF000000"/>
      <name val="Calibri"/>
      <scheme val="minor"/>
    </font>
    <font>
      <sz val="10"/>
      <color theme="1"/>
      <name val="Calibri"/>
    </font>
    <font>
      <b/>
      <sz val="8"/>
      <color rgb="FFFFFFFF"/>
      <name val="Calibri"/>
      <family val="2"/>
    </font>
    <font>
      <u/>
      <sz val="8"/>
      <color rgb="FFFFFFFF"/>
      <name val="Calibri"/>
      <family val="2"/>
    </font>
    <font>
      <sz val="8"/>
      <color rgb="FF00000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</font>
    <font>
      <b/>
      <sz val="8"/>
      <color theme="1"/>
      <name val="Arial"/>
      <family val="2"/>
    </font>
    <font>
      <u/>
      <sz val="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10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0" borderId="0" xfId="0" applyFont="1"/>
    <xf numFmtId="0" fontId="5" fillId="3" borderId="0" xfId="0" applyFont="1" applyFill="1" applyAlignment="1">
      <alignment horizontal="left"/>
    </xf>
    <xf numFmtId="166" fontId="5" fillId="3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167" fontId="6" fillId="3" borderId="0" xfId="0" applyNumberFormat="1" applyFont="1" applyFill="1" applyAlignment="1">
      <alignment horizontal="left"/>
    </xf>
    <xf numFmtId="10" fontId="5" fillId="3" borderId="0" xfId="0" applyNumberFormat="1" applyFont="1" applyFill="1" applyAlignment="1">
      <alignment horizontal="left"/>
    </xf>
    <xf numFmtId="167" fontId="5" fillId="3" borderId="0" xfId="0" applyNumberFormat="1" applyFont="1" applyFill="1" applyAlignment="1">
      <alignment horizontal="left"/>
    </xf>
    <xf numFmtId="165" fontId="5" fillId="3" borderId="0" xfId="0" applyNumberFormat="1" applyFont="1" applyFill="1" applyAlignment="1">
      <alignment horizontal="left"/>
    </xf>
    <xf numFmtId="9" fontId="5" fillId="3" borderId="0" xfId="0" applyNumberFormat="1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0" fontId="5" fillId="4" borderId="0" xfId="0" applyFont="1" applyFill="1" applyAlignment="1">
      <alignment horizontal="left"/>
    </xf>
    <xf numFmtId="165" fontId="5" fillId="4" borderId="0" xfId="0" applyNumberFormat="1" applyFont="1" applyFill="1" applyAlignment="1">
      <alignment horizontal="left"/>
    </xf>
    <xf numFmtId="165" fontId="6" fillId="4" borderId="0" xfId="0" applyNumberFormat="1" applyFont="1" applyFill="1" applyAlignment="1">
      <alignment horizontal="left"/>
    </xf>
    <xf numFmtId="165" fontId="6" fillId="3" borderId="0" xfId="0" applyNumberFormat="1" applyFont="1" applyFill="1" applyAlignment="1">
      <alignment horizontal="left"/>
    </xf>
    <xf numFmtId="9" fontId="5" fillId="3" borderId="0" xfId="0" applyNumberFormat="1" applyFont="1" applyFill="1"/>
    <xf numFmtId="9" fontId="6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5" fillId="3" borderId="0" xfId="0" applyFont="1" applyFill="1"/>
    <xf numFmtId="0" fontId="7" fillId="3" borderId="0" xfId="0" applyFont="1" applyFill="1"/>
    <xf numFmtId="9" fontId="7" fillId="3" borderId="0" xfId="0" applyNumberFormat="1" applyFont="1" applyFill="1"/>
    <xf numFmtId="0" fontId="5" fillId="3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left"/>
    </xf>
    <xf numFmtId="3" fontId="6" fillId="4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167" fontId="2" fillId="2" borderId="0" xfId="0" applyNumberFormat="1" applyFont="1" applyFill="1" applyAlignment="1">
      <alignment horizontal="left"/>
    </xf>
    <xf numFmtId="168" fontId="2" fillId="2" borderId="0" xfId="0" applyNumberFormat="1" applyFont="1" applyFill="1" applyAlignment="1">
      <alignment horizontal="left"/>
    </xf>
    <xf numFmtId="9" fontId="2" fillId="2" borderId="0" xfId="0" applyNumberFormat="1" applyFont="1" applyFill="1" applyAlignment="1">
      <alignment horizontal="left"/>
    </xf>
    <xf numFmtId="10" fontId="2" fillId="2" borderId="0" xfId="0" applyNumberFormat="1" applyFont="1" applyFill="1" applyAlignment="1">
      <alignment horizontal="center"/>
    </xf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10" fontId="7" fillId="0" borderId="0" xfId="0" applyNumberFormat="1" applyFont="1"/>
    <xf numFmtId="0" fontId="7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5" borderId="0" xfId="0" applyFont="1" applyFill="1"/>
    <xf numFmtId="0" fontId="8" fillId="0" borderId="0" xfId="0" applyFont="1" applyAlignment="1">
      <alignment horizontal="left"/>
    </xf>
    <xf numFmtId="0" fontId="8" fillId="0" borderId="0" xfId="0" applyFont="1"/>
    <xf numFmtId="172" fontId="5" fillId="0" borderId="0" xfId="0" applyNumberFormat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2">
    <dxf>
      <font>
        <color rgb="FF000000"/>
      </font>
      <fill>
        <patternFill patternType="solid">
          <fgColor rgb="FFF4C7C3"/>
          <bgColor rgb="FFF4C7C3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theme" Target="theme/theme1.xml"/><Relationship Id="rId33" Type="http://customschemas.google.com/relationships/workbookmetadata" Target="metadata"/><Relationship Id="rId1" Type="http://schemas.openxmlformats.org/officeDocument/2006/relationships/worksheet" Target="worksheets/sheet1.xml"/><Relationship Id="rId37" Type="http://schemas.openxmlformats.org/officeDocument/2006/relationships/calcChain" Target="calcChain.xml"/><Relationship Id="rId36" Type="http://schemas.openxmlformats.org/officeDocument/2006/relationships/sharedStrings" Target="sharedStrings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F999"/>
  <sheetViews>
    <sheetView tabSelected="1" zoomScale="140" zoomScaleNormal="140" workbookViewId="0">
      <pane ySplit="2" topLeftCell="A3" activePane="bottomLeft" state="frozen"/>
      <selection pane="bottomLeft" activeCell="J43" sqref="J43"/>
    </sheetView>
  </sheetViews>
  <sheetFormatPr baseColWidth="10" defaultColWidth="14.3984375" defaultRowHeight="15" customHeight="1" x14ac:dyDescent="0.2"/>
  <cols>
    <col min="1" max="1" width="3.19921875" customWidth="1"/>
    <col min="2" max="2" width="8.19921875" customWidth="1"/>
    <col min="3" max="3" width="9.796875" customWidth="1"/>
    <col min="4" max="4" width="9.3984375" customWidth="1"/>
    <col min="5" max="5" width="9.19921875" customWidth="1"/>
    <col min="6" max="6" width="6" customWidth="1"/>
    <col min="7" max="7" width="7" customWidth="1"/>
    <col min="8" max="9" width="6.19921875" customWidth="1"/>
    <col min="10" max="10" width="6.796875" customWidth="1"/>
    <col min="11" max="11" width="6.59765625" customWidth="1"/>
    <col min="12" max="12" width="6.796875" customWidth="1"/>
    <col min="13" max="13" width="7.19921875" customWidth="1"/>
    <col min="14" max="14" width="13.796875" customWidth="1"/>
    <col min="15" max="15" width="12.796875" customWidth="1"/>
    <col min="16" max="16" width="4.59765625" customWidth="1"/>
    <col min="17" max="17" width="8.3984375" customWidth="1"/>
    <col min="18" max="18" width="11.59765625" customWidth="1"/>
    <col min="19" max="19" width="4.59765625" customWidth="1"/>
    <col min="20" max="20" width="8" customWidth="1"/>
    <col min="21" max="21" width="6.59765625" customWidth="1"/>
    <col min="22" max="24" width="8.19921875" customWidth="1"/>
    <col min="25" max="25" width="8.796875" customWidth="1"/>
    <col min="26" max="26" width="8.3984375" customWidth="1"/>
    <col min="27" max="27" width="7.796875" customWidth="1"/>
    <col min="28" max="28" width="7.19921875" customWidth="1"/>
    <col min="29" max="29" width="7" customWidth="1"/>
    <col min="30" max="30" width="6" customWidth="1"/>
    <col min="31" max="31" width="5.796875" customWidth="1"/>
    <col min="32" max="32" width="79.3984375" customWidth="1"/>
  </cols>
  <sheetData>
    <row r="1" spans="1:32" ht="30" customHeight="1" x14ac:dyDescent="0.2">
      <c r="A1" s="4" t="s">
        <v>31</v>
      </c>
      <c r="B1" s="4"/>
      <c r="C1" s="5"/>
      <c r="D1" s="4"/>
      <c r="E1" s="4"/>
      <c r="F1" s="4"/>
      <c r="G1" s="4"/>
      <c r="H1" s="4"/>
      <c r="I1" s="4"/>
      <c r="J1" s="6"/>
      <c r="K1" s="4"/>
      <c r="L1" s="4"/>
      <c r="M1" s="6"/>
      <c r="N1" s="3"/>
      <c r="O1" s="4"/>
      <c r="P1" s="6"/>
      <c r="Q1" s="4"/>
      <c r="R1" s="4"/>
      <c r="S1" s="4"/>
      <c r="T1" s="4"/>
      <c r="U1" s="4"/>
      <c r="V1" s="7"/>
      <c r="W1" s="7"/>
      <c r="X1" s="7"/>
      <c r="Y1" s="4"/>
      <c r="Z1" s="8"/>
      <c r="AA1" s="4"/>
      <c r="AB1" s="4"/>
      <c r="AC1" s="4"/>
      <c r="AD1" s="4"/>
      <c r="AE1" s="4"/>
      <c r="AF1" s="9"/>
    </row>
    <row r="2" spans="1:32" ht="12.75" customHeight="1" x14ac:dyDescent="0.2">
      <c r="A2" s="10" t="s">
        <v>0</v>
      </c>
      <c r="B2" s="11"/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6" t="s">
        <v>8</v>
      </c>
      <c r="K2" s="4" t="s">
        <v>9</v>
      </c>
      <c r="L2" s="4" t="s">
        <v>10</v>
      </c>
      <c r="M2" s="6" t="s">
        <v>30</v>
      </c>
      <c r="N2" s="3" t="s">
        <v>38</v>
      </c>
      <c r="O2" s="4" t="s">
        <v>39</v>
      </c>
      <c r="P2" s="6" t="s">
        <v>11</v>
      </c>
      <c r="Q2" s="2" t="s">
        <v>36</v>
      </c>
      <c r="R2" s="2" t="s">
        <v>37</v>
      </c>
      <c r="S2" s="4" t="s">
        <v>12</v>
      </c>
      <c r="T2" s="4" t="s">
        <v>13</v>
      </c>
      <c r="U2" s="4" t="s">
        <v>14</v>
      </c>
      <c r="V2" s="7" t="s">
        <v>15</v>
      </c>
      <c r="W2" s="7" t="s">
        <v>16</v>
      </c>
      <c r="X2" s="7" t="s">
        <v>32</v>
      </c>
      <c r="Y2" s="4" t="s">
        <v>17</v>
      </c>
      <c r="Z2" s="4" t="s">
        <v>18</v>
      </c>
      <c r="AA2" s="4" t="s">
        <v>19</v>
      </c>
      <c r="AB2" s="4" t="s">
        <v>20</v>
      </c>
      <c r="AC2" s="4" t="s">
        <v>21</v>
      </c>
      <c r="AD2" s="4" t="s">
        <v>22</v>
      </c>
      <c r="AE2" s="4" t="s">
        <v>23</v>
      </c>
      <c r="AF2" s="9"/>
    </row>
    <row r="3" spans="1:32" ht="12.75" customHeight="1" x14ac:dyDescent="0.2">
      <c r="A3" s="12" t="s">
        <v>27</v>
      </c>
      <c r="B3" s="13">
        <v>45017</v>
      </c>
      <c r="C3" s="14">
        <v>4850</v>
      </c>
      <c r="D3" s="15">
        <v>350656</v>
      </c>
      <c r="E3" s="15">
        <v>32010</v>
      </c>
      <c r="F3" s="16">
        <f t="shared" ref="F3:F33" si="0">SUM(C3)/(D3/1000)</f>
        <v>13.831219200584048</v>
      </c>
      <c r="G3" s="15">
        <v>2301</v>
      </c>
      <c r="H3" s="17">
        <f t="shared" ref="H3:H33" si="1">SUM(G3/D3)</f>
        <v>6.5619866764008031E-3</v>
      </c>
      <c r="I3" s="18">
        <f t="shared" ref="I3:I33" si="2">SUM(C3/G3)</f>
        <v>2.1077792264232942</v>
      </c>
      <c r="J3" s="15">
        <v>407</v>
      </c>
      <c r="K3" s="17">
        <f t="shared" ref="K3:K33" si="3">SUM(J3/G3)</f>
        <v>0.17687961755758366</v>
      </c>
      <c r="L3" s="16">
        <f t="shared" ref="L3:L33" si="4">SUM(C3/J3)</f>
        <v>11.916461916461916</v>
      </c>
      <c r="M3" s="15">
        <v>8</v>
      </c>
      <c r="N3" s="17">
        <f t="shared" ref="N3:N33" si="5">SUM(M3/J3)</f>
        <v>1.9656019656019656E-2</v>
      </c>
      <c r="O3" s="19">
        <f>SUM(C3/M3)</f>
        <v>606.25</v>
      </c>
      <c r="P3" s="15">
        <v>4</v>
      </c>
      <c r="Q3" s="20">
        <f>SUM(P3/M3)</f>
        <v>0.5</v>
      </c>
      <c r="R3" s="21">
        <f>SUM(C3/P3)</f>
        <v>1212.5</v>
      </c>
      <c r="S3" s="22">
        <v>1</v>
      </c>
      <c r="T3" s="17">
        <f>SUM(S3/P3)</f>
        <v>0.25</v>
      </c>
      <c r="U3" s="17">
        <f t="shared" ref="U3:U32" si="6">SUM(S3/J3)</f>
        <v>2.4570024570024569E-3</v>
      </c>
      <c r="V3" s="23">
        <v>5364</v>
      </c>
      <c r="W3" s="23">
        <v>1197</v>
      </c>
      <c r="X3" s="24">
        <v>993</v>
      </c>
      <c r="Y3" s="21">
        <f>SUM(C3/S3)</f>
        <v>4850</v>
      </c>
      <c r="Z3" s="25">
        <f t="shared" ref="Z3:Z32" si="7">SUM(V3-C3)</f>
        <v>514</v>
      </c>
      <c r="AA3" s="25">
        <f t="shared" ref="AA3:AA32" si="8">SUM(W3-C3)</f>
        <v>-3653</v>
      </c>
      <c r="AB3" s="26"/>
      <c r="AC3" s="26"/>
      <c r="AD3" s="27"/>
      <c r="AE3" s="27"/>
      <c r="AF3" s="28"/>
    </row>
    <row r="4" spans="1:32" ht="12.75" customHeight="1" x14ac:dyDescent="0.2">
      <c r="A4" s="29" t="s">
        <v>27</v>
      </c>
      <c r="B4" s="13">
        <v>45018</v>
      </c>
      <c r="C4" s="14">
        <v>5285</v>
      </c>
      <c r="D4" s="15">
        <v>344930</v>
      </c>
      <c r="E4" s="15">
        <v>36607</v>
      </c>
      <c r="F4" s="16">
        <f t="shared" si="0"/>
        <v>15.321949381033832</v>
      </c>
      <c r="G4" s="15">
        <v>2415</v>
      </c>
      <c r="H4" s="17">
        <f t="shared" si="1"/>
        <v>7.0014205780883076E-3</v>
      </c>
      <c r="I4" s="18">
        <f t="shared" si="2"/>
        <v>2.1884057971014492</v>
      </c>
      <c r="J4" s="15">
        <v>402</v>
      </c>
      <c r="K4" s="17">
        <f t="shared" si="3"/>
        <v>0.16645962732919253</v>
      </c>
      <c r="L4" s="16">
        <f t="shared" si="4"/>
        <v>13.14676616915423</v>
      </c>
      <c r="M4" s="15">
        <v>0</v>
      </c>
      <c r="N4" s="17">
        <f t="shared" si="5"/>
        <v>0</v>
      </c>
      <c r="O4" s="19" t="s">
        <v>29</v>
      </c>
      <c r="P4" s="15">
        <v>0</v>
      </c>
      <c r="Q4" s="19" t="s">
        <v>29</v>
      </c>
      <c r="R4" s="19" t="s">
        <v>29</v>
      </c>
      <c r="S4" s="22">
        <v>0</v>
      </c>
      <c r="T4" s="19" t="s">
        <v>29</v>
      </c>
      <c r="U4" s="17">
        <f t="shared" si="6"/>
        <v>0</v>
      </c>
      <c r="V4" s="23">
        <v>0</v>
      </c>
      <c r="W4" s="23">
        <v>0</v>
      </c>
      <c r="X4" s="23">
        <v>2706</v>
      </c>
      <c r="Y4" s="21" t="s">
        <v>29</v>
      </c>
      <c r="Z4" s="25">
        <f t="shared" si="7"/>
        <v>-5285</v>
      </c>
      <c r="AA4" s="25">
        <f t="shared" si="8"/>
        <v>-5285</v>
      </c>
      <c r="AB4" s="26"/>
      <c r="AC4" s="26"/>
      <c r="AD4" s="27"/>
      <c r="AE4" s="27"/>
      <c r="AF4" s="30"/>
    </row>
    <row r="5" spans="1:32" ht="12.75" customHeight="1" x14ac:dyDescent="0.2">
      <c r="A5" s="29" t="s">
        <v>28</v>
      </c>
      <c r="B5" s="13">
        <v>45019</v>
      </c>
      <c r="C5" s="14">
        <v>5130</v>
      </c>
      <c r="D5" s="15">
        <v>320993</v>
      </c>
      <c r="E5" s="15">
        <v>37282</v>
      </c>
      <c r="F5" s="16">
        <f t="shared" si="0"/>
        <v>15.981656920867433</v>
      </c>
      <c r="G5" s="15">
        <v>2187</v>
      </c>
      <c r="H5" s="17">
        <f t="shared" si="1"/>
        <v>6.8132326873171691E-3</v>
      </c>
      <c r="I5" s="18">
        <f t="shared" si="2"/>
        <v>2.3456790123456792</v>
      </c>
      <c r="J5" s="15">
        <v>356</v>
      </c>
      <c r="K5" s="17">
        <f t="shared" si="3"/>
        <v>0.16278006401463191</v>
      </c>
      <c r="L5" s="16">
        <f t="shared" si="4"/>
        <v>14.410112359550562</v>
      </c>
      <c r="M5" s="15">
        <v>42</v>
      </c>
      <c r="N5" s="17">
        <f t="shared" si="5"/>
        <v>0.11797752808988764</v>
      </c>
      <c r="O5" s="19">
        <f t="shared" ref="O5:O10" si="9">SUM(C5/M5)</f>
        <v>122.14285714285714</v>
      </c>
      <c r="P5" s="15">
        <v>27</v>
      </c>
      <c r="Q5" s="20">
        <f t="shared" ref="Q5:Q10" si="10">SUM(P5/M5)</f>
        <v>0.6428571428571429</v>
      </c>
      <c r="R5" s="21">
        <f t="shared" ref="R5:R10" si="11">SUM(C5/P5)</f>
        <v>190</v>
      </c>
      <c r="S5" s="22">
        <v>4</v>
      </c>
      <c r="T5" s="17">
        <f t="shared" ref="T5:T10" si="12">SUM(S5/P5)</f>
        <v>0.14814814814814814</v>
      </c>
      <c r="U5" s="17">
        <f t="shared" si="6"/>
        <v>1.1235955056179775E-2</v>
      </c>
      <c r="V5" s="23">
        <v>33374</v>
      </c>
      <c r="W5" s="23">
        <v>24394</v>
      </c>
      <c r="X5" s="23">
        <v>6794</v>
      </c>
      <c r="Y5" s="21">
        <f t="shared" ref="Y5:Y9" si="13">SUM(C5/S5)</f>
        <v>1282.5</v>
      </c>
      <c r="Z5" s="25">
        <f t="shared" si="7"/>
        <v>28244</v>
      </c>
      <c r="AA5" s="25">
        <f t="shared" si="8"/>
        <v>19264</v>
      </c>
      <c r="AB5" s="26"/>
      <c r="AC5" s="26"/>
      <c r="AD5" s="27"/>
      <c r="AE5" s="27"/>
      <c r="AF5" s="31"/>
    </row>
    <row r="6" spans="1:32" ht="12.75" customHeight="1" x14ac:dyDescent="0.2">
      <c r="A6" s="29" t="s">
        <v>24</v>
      </c>
      <c r="B6" s="13">
        <v>45020</v>
      </c>
      <c r="C6" s="14">
        <v>4958</v>
      </c>
      <c r="D6" s="15">
        <v>297441</v>
      </c>
      <c r="E6" s="15">
        <v>34163</v>
      </c>
      <c r="F6" s="16">
        <f t="shared" si="0"/>
        <v>16.66885197400493</v>
      </c>
      <c r="G6" s="15">
        <v>2151</v>
      </c>
      <c r="H6" s="17">
        <f t="shared" si="1"/>
        <v>7.2316862840025413E-3</v>
      </c>
      <c r="I6" s="18">
        <f t="shared" si="2"/>
        <v>2.3049744304974431</v>
      </c>
      <c r="J6" s="15">
        <v>405</v>
      </c>
      <c r="K6" s="17">
        <f t="shared" si="3"/>
        <v>0.18828451882845187</v>
      </c>
      <c r="L6" s="16">
        <f t="shared" si="4"/>
        <v>12.241975308641976</v>
      </c>
      <c r="M6" s="15">
        <v>32</v>
      </c>
      <c r="N6" s="17">
        <f t="shared" si="5"/>
        <v>7.9012345679012344E-2</v>
      </c>
      <c r="O6" s="19">
        <f t="shared" si="9"/>
        <v>154.9375</v>
      </c>
      <c r="P6" s="15">
        <v>19</v>
      </c>
      <c r="Q6" s="20">
        <f t="shared" si="10"/>
        <v>0.59375</v>
      </c>
      <c r="R6" s="21">
        <f t="shared" si="11"/>
        <v>260.94736842105266</v>
      </c>
      <c r="S6" s="22">
        <v>6</v>
      </c>
      <c r="T6" s="17">
        <f t="shared" si="12"/>
        <v>0.31578947368421051</v>
      </c>
      <c r="U6" s="17">
        <f t="shared" si="6"/>
        <v>1.4814814814814815E-2</v>
      </c>
      <c r="V6" s="23">
        <v>72000</v>
      </c>
      <c r="W6" s="23">
        <v>11100</v>
      </c>
      <c r="X6" s="24">
        <v>1691</v>
      </c>
      <c r="Y6" s="21">
        <f t="shared" si="13"/>
        <v>826.33333333333337</v>
      </c>
      <c r="Z6" s="25">
        <f t="shared" si="7"/>
        <v>67042</v>
      </c>
      <c r="AA6" s="25">
        <f t="shared" si="8"/>
        <v>6142</v>
      </c>
      <c r="AB6" s="26"/>
      <c r="AC6" s="26"/>
      <c r="AD6" s="27"/>
      <c r="AE6" s="27"/>
      <c r="AF6" s="28"/>
    </row>
    <row r="7" spans="1:32" ht="12.75" customHeight="1" x14ac:dyDescent="0.2">
      <c r="A7" s="29" t="s">
        <v>25</v>
      </c>
      <c r="B7" s="13">
        <v>45021</v>
      </c>
      <c r="C7" s="14">
        <v>4683</v>
      </c>
      <c r="D7" s="15">
        <v>281703</v>
      </c>
      <c r="E7" s="15">
        <v>31358</v>
      </c>
      <c r="F7" s="16">
        <f t="shared" si="0"/>
        <v>16.623891119370402</v>
      </c>
      <c r="G7" s="15">
        <v>2070</v>
      </c>
      <c r="H7" s="17">
        <f t="shared" si="1"/>
        <v>7.3481645562880052E-3</v>
      </c>
      <c r="I7" s="18">
        <f t="shared" si="2"/>
        <v>2.2623188405797103</v>
      </c>
      <c r="J7" s="15">
        <v>332</v>
      </c>
      <c r="K7" s="17">
        <f t="shared" si="3"/>
        <v>0.16038647342995169</v>
      </c>
      <c r="L7" s="16">
        <f t="shared" si="4"/>
        <v>14.105421686746988</v>
      </c>
      <c r="M7" s="15">
        <v>38</v>
      </c>
      <c r="N7" s="17">
        <f t="shared" si="5"/>
        <v>0.1144578313253012</v>
      </c>
      <c r="O7" s="19">
        <f t="shared" si="9"/>
        <v>123.23684210526316</v>
      </c>
      <c r="P7" s="15">
        <v>24</v>
      </c>
      <c r="Q7" s="20">
        <f t="shared" si="10"/>
        <v>0.63157894736842102</v>
      </c>
      <c r="R7" s="21">
        <f t="shared" si="11"/>
        <v>195.125</v>
      </c>
      <c r="S7" s="22">
        <v>5</v>
      </c>
      <c r="T7" s="17">
        <f t="shared" si="12"/>
        <v>0.20833333333333334</v>
      </c>
      <c r="U7" s="17">
        <f t="shared" si="6"/>
        <v>1.5060240963855422E-2</v>
      </c>
      <c r="V7" s="23">
        <v>17500</v>
      </c>
      <c r="W7" s="23">
        <v>8600</v>
      </c>
      <c r="X7" s="24">
        <v>2551</v>
      </c>
      <c r="Y7" s="21">
        <f t="shared" si="13"/>
        <v>936.6</v>
      </c>
      <c r="Z7" s="25">
        <f t="shared" si="7"/>
        <v>12817</v>
      </c>
      <c r="AA7" s="25">
        <f t="shared" si="8"/>
        <v>3917</v>
      </c>
      <c r="AB7" s="26"/>
      <c r="AC7" s="26"/>
      <c r="AD7" s="27"/>
      <c r="AE7" s="27"/>
      <c r="AF7" s="32"/>
    </row>
    <row r="8" spans="1:32" ht="12.75" customHeight="1" x14ac:dyDescent="0.2">
      <c r="A8" s="29" t="s">
        <v>24</v>
      </c>
      <c r="B8" s="13">
        <v>45022</v>
      </c>
      <c r="C8" s="14">
        <v>5395</v>
      </c>
      <c r="D8" s="15">
        <v>323655</v>
      </c>
      <c r="E8" s="15">
        <v>39324</v>
      </c>
      <c r="F8" s="16">
        <f t="shared" si="0"/>
        <v>16.668983948957997</v>
      </c>
      <c r="G8" s="15">
        <v>2598</v>
      </c>
      <c r="H8" s="17">
        <f t="shared" si="1"/>
        <v>8.0270658571627192E-3</v>
      </c>
      <c r="I8" s="18">
        <f t="shared" si="2"/>
        <v>2.0765973826020017</v>
      </c>
      <c r="J8" s="15">
        <v>443</v>
      </c>
      <c r="K8" s="17">
        <f t="shared" si="3"/>
        <v>0.17051578137028484</v>
      </c>
      <c r="L8" s="16">
        <f t="shared" si="4"/>
        <v>12.178329571106095</v>
      </c>
      <c r="M8" s="15">
        <v>35</v>
      </c>
      <c r="N8" s="17">
        <f t="shared" si="5"/>
        <v>7.900677200902935E-2</v>
      </c>
      <c r="O8" s="19">
        <f t="shared" si="9"/>
        <v>154.14285714285714</v>
      </c>
      <c r="P8" s="15">
        <v>20</v>
      </c>
      <c r="Q8" s="20">
        <f t="shared" si="10"/>
        <v>0.5714285714285714</v>
      </c>
      <c r="R8" s="21">
        <f t="shared" si="11"/>
        <v>269.75</v>
      </c>
      <c r="S8" s="22">
        <v>2</v>
      </c>
      <c r="T8" s="17">
        <f t="shared" si="12"/>
        <v>0.1</v>
      </c>
      <c r="U8" s="17">
        <f t="shared" si="6"/>
        <v>4.5146726862302479E-3</v>
      </c>
      <c r="V8" s="23">
        <v>14014</v>
      </c>
      <c r="W8" s="23">
        <v>5747</v>
      </c>
      <c r="X8" s="24">
        <v>4594</v>
      </c>
      <c r="Y8" s="21">
        <f t="shared" si="13"/>
        <v>2697.5</v>
      </c>
      <c r="Z8" s="25">
        <f t="shared" si="7"/>
        <v>8619</v>
      </c>
      <c r="AA8" s="25">
        <f t="shared" si="8"/>
        <v>352</v>
      </c>
      <c r="AB8" s="26"/>
      <c r="AC8" s="26"/>
      <c r="AD8" s="27"/>
      <c r="AE8" s="27"/>
      <c r="AF8" s="29"/>
    </row>
    <row r="9" spans="1:32" ht="12.75" customHeight="1" x14ac:dyDescent="0.2">
      <c r="A9" s="29" t="s">
        <v>26</v>
      </c>
      <c r="B9" s="13">
        <v>45023</v>
      </c>
      <c r="C9" s="14">
        <v>5094</v>
      </c>
      <c r="D9" s="15">
        <v>297569</v>
      </c>
      <c r="E9" s="15">
        <v>33103</v>
      </c>
      <c r="F9" s="16">
        <f t="shared" si="0"/>
        <v>17.118718683733857</v>
      </c>
      <c r="G9" s="15">
        <v>2266</v>
      </c>
      <c r="H9" s="17">
        <f t="shared" si="1"/>
        <v>7.6150405452180842E-3</v>
      </c>
      <c r="I9" s="18">
        <f t="shared" si="2"/>
        <v>2.2480141218005296</v>
      </c>
      <c r="J9" s="15">
        <v>415</v>
      </c>
      <c r="K9" s="17">
        <f t="shared" si="3"/>
        <v>0.18314210061782876</v>
      </c>
      <c r="L9" s="16">
        <f t="shared" si="4"/>
        <v>12.274698795180722</v>
      </c>
      <c r="M9" s="15">
        <v>39</v>
      </c>
      <c r="N9" s="17">
        <f t="shared" si="5"/>
        <v>9.3975903614457831E-2</v>
      </c>
      <c r="O9" s="19">
        <f t="shared" si="9"/>
        <v>130.61538461538461</v>
      </c>
      <c r="P9" s="15">
        <v>15</v>
      </c>
      <c r="Q9" s="20">
        <f t="shared" si="10"/>
        <v>0.38461538461538464</v>
      </c>
      <c r="R9" s="21">
        <f t="shared" si="11"/>
        <v>339.6</v>
      </c>
      <c r="S9" s="22">
        <v>6</v>
      </c>
      <c r="T9" s="17">
        <f t="shared" si="12"/>
        <v>0.4</v>
      </c>
      <c r="U9" s="17">
        <f t="shared" si="6"/>
        <v>1.4457831325301205E-2</v>
      </c>
      <c r="V9" s="23">
        <v>27195</v>
      </c>
      <c r="W9" s="23">
        <v>26345</v>
      </c>
      <c r="X9" s="24">
        <v>197</v>
      </c>
      <c r="Y9" s="21">
        <f t="shared" si="13"/>
        <v>849</v>
      </c>
      <c r="Z9" s="25">
        <f t="shared" si="7"/>
        <v>22101</v>
      </c>
      <c r="AA9" s="25">
        <f t="shared" si="8"/>
        <v>21251</v>
      </c>
      <c r="AB9" s="26"/>
      <c r="AC9" s="26"/>
      <c r="AD9" s="27"/>
      <c r="AE9" s="27"/>
      <c r="AF9" s="32"/>
    </row>
    <row r="10" spans="1:32" ht="12.75" customHeight="1" x14ac:dyDescent="0.2">
      <c r="A10" s="29" t="s">
        <v>27</v>
      </c>
      <c r="B10" s="13">
        <v>45024</v>
      </c>
      <c r="C10" s="14">
        <v>4938</v>
      </c>
      <c r="D10" s="15">
        <v>304629</v>
      </c>
      <c r="E10" s="15">
        <v>32754</v>
      </c>
      <c r="F10" s="16">
        <f t="shared" si="0"/>
        <v>16.20988152802261</v>
      </c>
      <c r="G10" s="15">
        <v>2202</v>
      </c>
      <c r="H10" s="17">
        <f t="shared" si="1"/>
        <v>7.2284647883162799E-3</v>
      </c>
      <c r="I10" s="18">
        <f t="shared" si="2"/>
        <v>2.242506811989101</v>
      </c>
      <c r="J10" s="15">
        <v>385</v>
      </c>
      <c r="K10" s="17">
        <f t="shared" si="3"/>
        <v>0.17484105358764759</v>
      </c>
      <c r="L10" s="16">
        <f t="shared" si="4"/>
        <v>12.825974025974025</v>
      </c>
      <c r="M10" s="15">
        <v>5</v>
      </c>
      <c r="N10" s="17">
        <f t="shared" si="5"/>
        <v>1.2987012987012988E-2</v>
      </c>
      <c r="O10" s="19">
        <f t="shared" si="9"/>
        <v>987.6</v>
      </c>
      <c r="P10" s="15">
        <v>1</v>
      </c>
      <c r="Q10" s="20">
        <f t="shared" si="10"/>
        <v>0.2</v>
      </c>
      <c r="R10" s="21">
        <f t="shared" si="11"/>
        <v>4938</v>
      </c>
      <c r="S10" s="22">
        <v>0</v>
      </c>
      <c r="T10" s="17">
        <f t="shared" si="12"/>
        <v>0</v>
      </c>
      <c r="U10" s="17">
        <f t="shared" si="6"/>
        <v>0</v>
      </c>
      <c r="V10" s="23">
        <v>3564</v>
      </c>
      <c r="W10" s="23">
        <v>297</v>
      </c>
      <c r="X10" s="23">
        <v>3073</v>
      </c>
      <c r="Y10" s="21" t="s">
        <v>29</v>
      </c>
      <c r="Z10" s="25">
        <f t="shared" si="7"/>
        <v>-1374</v>
      </c>
      <c r="AA10" s="25">
        <f t="shared" si="8"/>
        <v>-4641</v>
      </c>
      <c r="AB10" s="26"/>
      <c r="AC10" s="26"/>
      <c r="AD10" s="27"/>
      <c r="AE10" s="27"/>
      <c r="AF10" s="32"/>
    </row>
    <row r="11" spans="1:32" ht="12.75" customHeight="1" x14ac:dyDescent="0.2">
      <c r="A11" s="29" t="s">
        <v>27</v>
      </c>
      <c r="B11" s="13">
        <v>45025</v>
      </c>
      <c r="C11" s="14">
        <v>4950</v>
      </c>
      <c r="D11" s="15">
        <v>300964</v>
      </c>
      <c r="E11" s="15">
        <v>33851</v>
      </c>
      <c r="F11" s="16">
        <f t="shared" si="0"/>
        <v>16.447149825228266</v>
      </c>
      <c r="G11" s="15">
        <v>2276</v>
      </c>
      <c r="H11" s="17">
        <f t="shared" si="1"/>
        <v>7.5623662630746533E-3</v>
      </c>
      <c r="I11" s="18">
        <f t="shared" si="2"/>
        <v>2.1748681898066784</v>
      </c>
      <c r="J11" s="15">
        <v>363</v>
      </c>
      <c r="K11" s="17">
        <f t="shared" si="3"/>
        <v>0.1594903339191564</v>
      </c>
      <c r="L11" s="16">
        <f t="shared" si="4"/>
        <v>13.636363636363637</v>
      </c>
      <c r="M11" s="15">
        <v>0</v>
      </c>
      <c r="N11" s="17">
        <f t="shared" si="5"/>
        <v>0</v>
      </c>
      <c r="O11" s="19" t="s">
        <v>29</v>
      </c>
      <c r="P11" s="15">
        <v>0</v>
      </c>
      <c r="Q11" s="19" t="s">
        <v>29</v>
      </c>
      <c r="R11" s="19" t="s">
        <v>29</v>
      </c>
      <c r="S11" s="22">
        <v>0</v>
      </c>
      <c r="T11" s="12" t="s">
        <v>29</v>
      </c>
      <c r="U11" s="17">
        <f t="shared" si="6"/>
        <v>0</v>
      </c>
      <c r="V11" s="23">
        <v>0</v>
      </c>
      <c r="W11" s="23">
        <v>0</v>
      </c>
      <c r="X11" s="23">
        <v>8420</v>
      </c>
      <c r="Y11" s="21" t="s">
        <v>29</v>
      </c>
      <c r="Z11" s="25">
        <f t="shared" si="7"/>
        <v>-4950</v>
      </c>
      <c r="AA11" s="25">
        <f t="shared" si="8"/>
        <v>-4950</v>
      </c>
      <c r="AB11" s="27"/>
      <c r="AC11" s="27"/>
      <c r="AD11" s="27"/>
      <c r="AE11" s="27"/>
      <c r="AF11" s="32"/>
    </row>
    <row r="12" spans="1:32" ht="12.75" customHeight="1" x14ac:dyDescent="0.2">
      <c r="A12" s="29" t="s">
        <v>28</v>
      </c>
      <c r="B12" s="13">
        <v>45026</v>
      </c>
      <c r="C12" s="14">
        <v>4862</v>
      </c>
      <c r="D12" s="15">
        <v>270857</v>
      </c>
      <c r="E12" s="15">
        <v>32394</v>
      </c>
      <c r="F12" s="16">
        <f t="shared" si="0"/>
        <v>17.950431408455383</v>
      </c>
      <c r="G12" s="15">
        <v>2169</v>
      </c>
      <c r="H12" s="17">
        <f t="shared" si="1"/>
        <v>8.0079156159892483E-3</v>
      </c>
      <c r="I12" s="18">
        <f t="shared" si="2"/>
        <v>2.2415859843245736</v>
      </c>
      <c r="J12" s="15">
        <v>369</v>
      </c>
      <c r="K12" s="17">
        <f t="shared" si="3"/>
        <v>0.17012448132780084</v>
      </c>
      <c r="L12" s="16">
        <f t="shared" si="4"/>
        <v>13.176151761517616</v>
      </c>
      <c r="M12" s="15">
        <v>47</v>
      </c>
      <c r="N12" s="17">
        <f t="shared" si="5"/>
        <v>0.12737127371273713</v>
      </c>
      <c r="O12" s="19">
        <f t="shared" ref="O12:O33" si="14">SUM(C12/M12)</f>
        <v>103.44680851063829</v>
      </c>
      <c r="P12" s="15">
        <v>13</v>
      </c>
      <c r="Q12" s="20">
        <f t="shared" ref="Q12:Q33" si="15">SUM(P12/M12)</f>
        <v>0.27659574468085107</v>
      </c>
      <c r="R12" s="21">
        <f t="shared" ref="R12:R17" si="16">SUM(C12/P12)</f>
        <v>374</v>
      </c>
      <c r="S12" s="22">
        <v>1</v>
      </c>
      <c r="T12" s="17">
        <f t="shared" ref="T12:T17" si="17">SUM(S12/P12)</f>
        <v>7.6923076923076927E-2</v>
      </c>
      <c r="U12" s="17">
        <f t="shared" si="6"/>
        <v>2.7100271002710027E-3</v>
      </c>
      <c r="V12" s="23">
        <v>35564</v>
      </c>
      <c r="W12" s="23">
        <v>31297</v>
      </c>
      <c r="X12" s="23">
        <v>6173</v>
      </c>
      <c r="Y12" s="21">
        <f t="shared" ref="Y12:Y16" si="18">SUM(C12/S12)</f>
        <v>4862</v>
      </c>
      <c r="Z12" s="25">
        <f t="shared" si="7"/>
        <v>30702</v>
      </c>
      <c r="AA12" s="25">
        <f t="shared" si="8"/>
        <v>26435</v>
      </c>
      <c r="AB12" s="27"/>
      <c r="AC12" s="27"/>
      <c r="AD12" s="27"/>
      <c r="AE12" s="27"/>
      <c r="AF12" s="29"/>
    </row>
    <row r="13" spans="1:32" ht="12.75" customHeight="1" x14ac:dyDescent="0.2">
      <c r="A13" s="29" t="s">
        <v>24</v>
      </c>
      <c r="B13" s="13">
        <v>45027</v>
      </c>
      <c r="C13" s="14">
        <v>4780.3900000000003</v>
      </c>
      <c r="D13" s="15">
        <v>247352</v>
      </c>
      <c r="E13" s="15">
        <v>31115</v>
      </c>
      <c r="F13" s="16">
        <f t="shared" si="0"/>
        <v>19.326263786021542</v>
      </c>
      <c r="G13" s="15">
        <v>2126</v>
      </c>
      <c r="H13" s="17">
        <f t="shared" si="1"/>
        <v>8.5950386493741718E-3</v>
      </c>
      <c r="I13" s="18">
        <f t="shared" si="2"/>
        <v>2.2485371589840075</v>
      </c>
      <c r="J13" s="15">
        <v>386</v>
      </c>
      <c r="K13" s="17">
        <f t="shared" si="3"/>
        <v>0.18156161806208843</v>
      </c>
      <c r="L13" s="16">
        <f t="shared" si="4"/>
        <v>12.384430051813473</v>
      </c>
      <c r="M13" s="15">
        <v>34</v>
      </c>
      <c r="N13" s="17">
        <f t="shared" si="5"/>
        <v>8.8082901554404139E-2</v>
      </c>
      <c r="O13" s="19">
        <f t="shared" si="14"/>
        <v>140.59970588235296</v>
      </c>
      <c r="P13" s="15">
        <v>17</v>
      </c>
      <c r="Q13" s="20">
        <f t="shared" si="15"/>
        <v>0.5</v>
      </c>
      <c r="R13" s="21">
        <f t="shared" si="16"/>
        <v>281.19941176470593</v>
      </c>
      <c r="S13" s="22">
        <v>2</v>
      </c>
      <c r="T13" s="17">
        <f t="shared" si="17"/>
        <v>0.11764705882352941</v>
      </c>
      <c r="U13" s="17">
        <f t="shared" si="6"/>
        <v>5.1813471502590676E-3</v>
      </c>
      <c r="V13" s="23">
        <v>9800</v>
      </c>
      <c r="W13" s="23">
        <v>5900</v>
      </c>
      <c r="X13" s="23">
        <v>197</v>
      </c>
      <c r="Y13" s="21">
        <f t="shared" si="18"/>
        <v>2390.1950000000002</v>
      </c>
      <c r="Z13" s="25">
        <f t="shared" si="7"/>
        <v>5019.6099999999997</v>
      </c>
      <c r="AA13" s="25">
        <f t="shared" si="8"/>
        <v>1119.6099999999997</v>
      </c>
      <c r="AB13" s="27"/>
      <c r="AC13" s="27"/>
      <c r="AD13" s="27"/>
      <c r="AE13" s="27"/>
      <c r="AF13" s="29"/>
    </row>
    <row r="14" spans="1:32" ht="12.75" customHeight="1" x14ac:dyDescent="0.2">
      <c r="A14" s="29" t="s">
        <v>25</v>
      </c>
      <c r="B14" s="13">
        <v>45028</v>
      </c>
      <c r="C14" s="14">
        <v>4423</v>
      </c>
      <c r="D14" s="15">
        <v>246403</v>
      </c>
      <c r="E14" s="15">
        <v>31568</v>
      </c>
      <c r="F14" s="16">
        <f t="shared" si="0"/>
        <v>17.950268462640473</v>
      </c>
      <c r="G14" s="15">
        <v>2113</v>
      </c>
      <c r="H14" s="17">
        <f t="shared" si="1"/>
        <v>8.5753826049195826E-3</v>
      </c>
      <c r="I14" s="18">
        <f t="shared" si="2"/>
        <v>2.0932323710364411</v>
      </c>
      <c r="J14" s="15">
        <v>377</v>
      </c>
      <c r="K14" s="17">
        <f t="shared" si="3"/>
        <v>0.17841930903928063</v>
      </c>
      <c r="L14" s="16">
        <f t="shared" si="4"/>
        <v>11.73209549071618</v>
      </c>
      <c r="M14" s="15">
        <v>31</v>
      </c>
      <c r="N14" s="17">
        <f t="shared" si="5"/>
        <v>8.2228116710875335E-2</v>
      </c>
      <c r="O14" s="19">
        <f t="shared" si="14"/>
        <v>142.67741935483872</v>
      </c>
      <c r="P14" s="15">
        <v>15</v>
      </c>
      <c r="Q14" s="20">
        <f t="shared" si="15"/>
        <v>0.4838709677419355</v>
      </c>
      <c r="R14" s="21">
        <f t="shared" si="16"/>
        <v>294.86666666666667</v>
      </c>
      <c r="S14" s="22">
        <v>2</v>
      </c>
      <c r="T14" s="17">
        <f t="shared" si="17"/>
        <v>0.13333333333333333</v>
      </c>
      <c r="U14" s="17">
        <f t="shared" si="6"/>
        <v>5.3050397877984082E-3</v>
      </c>
      <c r="V14" s="23">
        <v>11362</v>
      </c>
      <c r="W14" s="23">
        <v>3563</v>
      </c>
      <c r="X14" s="23">
        <v>896</v>
      </c>
      <c r="Y14" s="21">
        <f t="shared" si="18"/>
        <v>2211.5</v>
      </c>
      <c r="Z14" s="25">
        <f t="shared" si="7"/>
        <v>6939</v>
      </c>
      <c r="AA14" s="25">
        <f t="shared" si="8"/>
        <v>-860</v>
      </c>
      <c r="AB14" s="27"/>
      <c r="AC14" s="27"/>
      <c r="AD14" s="27"/>
      <c r="AE14" s="27"/>
      <c r="AF14" s="32"/>
    </row>
    <row r="15" spans="1:32" ht="12.75" customHeight="1" x14ac:dyDescent="0.2">
      <c r="A15" s="29" t="s">
        <v>24</v>
      </c>
      <c r="B15" s="13">
        <v>45029</v>
      </c>
      <c r="C15" s="14">
        <v>4411.1400000000003</v>
      </c>
      <c r="D15" s="15">
        <v>239001</v>
      </c>
      <c r="E15" s="15">
        <v>32542</v>
      </c>
      <c r="F15" s="16">
        <f t="shared" si="0"/>
        <v>18.456575495500019</v>
      </c>
      <c r="G15" s="15">
        <v>2087</v>
      </c>
      <c r="H15" s="17">
        <f t="shared" si="1"/>
        <v>8.7321810368994265E-3</v>
      </c>
      <c r="I15" s="18">
        <f t="shared" si="2"/>
        <v>2.1136272160996645</v>
      </c>
      <c r="J15" s="15">
        <v>306</v>
      </c>
      <c r="K15" s="17">
        <f t="shared" si="3"/>
        <v>0.14662194537613799</v>
      </c>
      <c r="L15" s="16">
        <f t="shared" si="4"/>
        <v>14.415490196078432</v>
      </c>
      <c r="M15" s="15">
        <v>31</v>
      </c>
      <c r="N15" s="17">
        <f t="shared" si="5"/>
        <v>0.10130718954248366</v>
      </c>
      <c r="O15" s="19">
        <f t="shared" si="14"/>
        <v>142.29483870967744</v>
      </c>
      <c r="P15" s="15">
        <v>21</v>
      </c>
      <c r="Q15" s="20">
        <f t="shared" si="15"/>
        <v>0.67741935483870963</v>
      </c>
      <c r="R15" s="21">
        <f t="shared" si="16"/>
        <v>210.05428571428573</v>
      </c>
      <c r="S15" s="22">
        <v>6</v>
      </c>
      <c r="T15" s="17">
        <f t="shared" si="17"/>
        <v>0.2857142857142857</v>
      </c>
      <c r="U15" s="17">
        <f t="shared" si="6"/>
        <v>1.9607843137254902E-2</v>
      </c>
      <c r="V15" s="23">
        <v>33487</v>
      </c>
      <c r="W15" s="23">
        <v>12097</v>
      </c>
      <c r="X15" s="23">
        <v>3261</v>
      </c>
      <c r="Y15" s="21">
        <f t="shared" si="18"/>
        <v>735.19</v>
      </c>
      <c r="Z15" s="25">
        <f t="shared" si="7"/>
        <v>29075.86</v>
      </c>
      <c r="AA15" s="25">
        <f t="shared" si="8"/>
        <v>7685.86</v>
      </c>
      <c r="AB15" s="27"/>
      <c r="AC15" s="27"/>
      <c r="AD15" s="27"/>
      <c r="AE15" s="27"/>
      <c r="AF15" s="29"/>
    </row>
    <row r="16" spans="1:32" ht="12.75" customHeight="1" x14ac:dyDescent="0.2">
      <c r="A16" s="29" t="s">
        <v>26</v>
      </c>
      <c r="B16" s="13">
        <v>45030</v>
      </c>
      <c r="C16" s="14">
        <v>4169</v>
      </c>
      <c r="D16" s="15">
        <v>240383</v>
      </c>
      <c r="E16" s="15">
        <v>31221</v>
      </c>
      <c r="F16" s="16">
        <f t="shared" si="0"/>
        <v>17.34315654601199</v>
      </c>
      <c r="G16" s="33">
        <v>2230</v>
      </c>
      <c r="H16" s="17">
        <f t="shared" si="1"/>
        <v>9.2768623405149291E-3</v>
      </c>
      <c r="I16" s="18">
        <f t="shared" si="2"/>
        <v>1.869506726457399</v>
      </c>
      <c r="J16" s="15">
        <v>297</v>
      </c>
      <c r="K16" s="17">
        <f t="shared" si="3"/>
        <v>0.13318385650224215</v>
      </c>
      <c r="L16" s="16">
        <f t="shared" si="4"/>
        <v>14.037037037037036</v>
      </c>
      <c r="M16" s="15">
        <v>27</v>
      </c>
      <c r="N16" s="17">
        <f t="shared" si="5"/>
        <v>9.0909090909090912E-2</v>
      </c>
      <c r="O16" s="19">
        <f t="shared" si="14"/>
        <v>154.40740740740742</v>
      </c>
      <c r="P16" s="15">
        <v>16</v>
      </c>
      <c r="Q16" s="20">
        <f t="shared" si="15"/>
        <v>0.59259259259259256</v>
      </c>
      <c r="R16" s="21">
        <f t="shared" si="16"/>
        <v>260.5625</v>
      </c>
      <c r="S16" s="22">
        <v>4</v>
      </c>
      <c r="T16" s="17">
        <f t="shared" si="17"/>
        <v>0.25</v>
      </c>
      <c r="U16" s="17">
        <f t="shared" si="6"/>
        <v>1.3468013468013467E-2</v>
      </c>
      <c r="V16" s="23">
        <v>37570</v>
      </c>
      <c r="W16" s="23">
        <v>9095</v>
      </c>
      <c r="X16" s="23">
        <v>8475</v>
      </c>
      <c r="Y16" s="21">
        <f t="shared" si="18"/>
        <v>1042.25</v>
      </c>
      <c r="Z16" s="25">
        <f t="shared" si="7"/>
        <v>33401</v>
      </c>
      <c r="AA16" s="25">
        <f t="shared" si="8"/>
        <v>4926</v>
      </c>
      <c r="AB16" s="27"/>
      <c r="AC16" s="27"/>
      <c r="AD16" s="27"/>
      <c r="AE16" s="27"/>
      <c r="AF16" s="29"/>
    </row>
    <row r="17" spans="1:32" ht="12.75" customHeight="1" x14ac:dyDescent="0.2">
      <c r="A17" s="29" t="s">
        <v>27</v>
      </c>
      <c r="B17" s="13">
        <v>45031</v>
      </c>
      <c r="C17" s="14">
        <v>4120.51</v>
      </c>
      <c r="D17" s="15">
        <v>248202</v>
      </c>
      <c r="E17" s="15">
        <v>30783</v>
      </c>
      <c r="F17" s="16">
        <f t="shared" si="0"/>
        <v>16.601437538778899</v>
      </c>
      <c r="G17" s="15">
        <v>2193</v>
      </c>
      <c r="H17" s="17">
        <f t="shared" si="1"/>
        <v>8.8355452413759767E-3</v>
      </c>
      <c r="I17" s="18">
        <f t="shared" si="2"/>
        <v>1.878937528499772</v>
      </c>
      <c r="J17" s="15">
        <v>328</v>
      </c>
      <c r="K17" s="17">
        <f t="shared" si="3"/>
        <v>0.14956680346557227</v>
      </c>
      <c r="L17" s="16">
        <f t="shared" si="4"/>
        <v>12.562530487804878</v>
      </c>
      <c r="M17" s="15">
        <v>9</v>
      </c>
      <c r="N17" s="17">
        <f t="shared" si="5"/>
        <v>2.7439024390243903E-2</v>
      </c>
      <c r="O17" s="19">
        <f t="shared" si="14"/>
        <v>457.83444444444444</v>
      </c>
      <c r="P17" s="15">
        <v>5</v>
      </c>
      <c r="Q17" s="20">
        <f t="shared" si="15"/>
        <v>0.55555555555555558</v>
      </c>
      <c r="R17" s="21">
        <f t="shared" si="16"/>
        <v>824.10200000000009</v>
      </c>
      <c r="S17" s="22">
        <v>0</v>
      </c>
      <c r="T17" s="17">
        <f t="shared" si="17"/>
        <v>0</v>
      </c>
      <c r="U17" s="17">
        <f t="shared" si="6"/>
        <v>0</v>
      </c>
      <c r="V17" s="23">
        <v>0</v>
      </c>
      <c r="W17" s="23">
        <v>0</v>
      </c>
      <c r="X17" s="23">
        <v>5945</v>
      </c>
      <c r="Y17" s="21" t="s">
        <v>29</v>
      </c>
      <c r="Z17" s="25">
        <f t="shared" si="7"/>
        <v>-4120.51</v>
      </c>
      <c r="AA17" s="25">
        <f t="shared" si="8"/>
        <v>-4120.51</v>
      </c>
      <c r="AB17" s="27"/>
      <c r="AC17" s="27"/>
      <c r="AD17" s="27"/>
      <c r="AE17" s="27"/>
      <c r="AF17" s="29"/>
    </row>
    <row r="18" spans="1:32" ht="12.75" customHeight="1" x14ac:dyDescent="0.2">
      <c r="A18" s="29" t="s">
        <v>27</v>
      </c>
      <c r="B18" s="13">
        <v>45032</v>
      </c>
      <c r="C18" s="14">
        <v>4014</v>
      </c>
      <c r="D18" s="15">
        <v>235627</v>
      </c>
      <c r="E18" s="15">
        <v>27284</v>
      </c>
      <c r="F18" s="16">
        <f t="shared" si="0"/>
        <v>17.03539916902562</v>
      </c>
      <c r="G18" s="15">
        <v>2031</v>
      </c>
      <c r="H18" s="17">
        <f t="shared" si="1"/>
        <v>8.6195554838791825E-3</v>
      </c>
      <c r="I18" s="18">
        <f t="shared" si="2"/>
        <v>1.9763663220088625</v>
      </c>
      <c r="J18" s="15">
        <v>320</v>
      </c>
      <c r="K18" s="17">
        <f t="shared" si="3"/>
        <v>0.15755785327424915</v>
      </c>
      <c r="L18" s="16">
        <f t="shared" si="4"/>
        <v>12.543749999999999</v>
      </c>
      <c r="M18" s="15">
        <v>1</v>
      </c>
      <c r="N18" s="17">
        <f t="shared" si="5"/>
        <v>3.1250000000000002E-3</v>
      </c>
      <c r="O18" s="19">
        <f t="shared" si="14"/>
        <v>4014</v>
      </c>
      <c r="P18" s="15">
        <v>0</v>
      </c>
      <c r="Q18" s="20">
        <f t="shared" si="15"/>
        <v>0</v>
      </c>
      <c r="R18" s="21" t="s">
        <v>29</v>
      </c>
      <c r="S18" s="22">
        <v>0</v>
      </c>
      <c r="T18" s="12" t="s">
        <v>29</v>
      </c>
      <c r="U18" s="17">
        <f t="shared" si="6"/>
        <v>0</v>
      </c>
      <c r="V18" s="23">
        <v>7128</v>
      </c>
      <c r="W18" s="23">
        <v>594</v>
      </c>
      <c r="X18" s="23">
        <v>297</v>
      </c>
      <c r="Y18" s="21" t="s">
        <v>29</v>
      </c>
      <c r="Z18" s="25">
        <f t="shared" si="7"/>
        <v>3114</v>
      </c>
      <c r="AA18" s="25">
        <f t="shared" si="8"/>
        <v>-3420</v>
      </c>
      <c r="AB18" s="27"/>
      <c r="AC18" s="27"/>
      <c r="AD18" s="27"/>
      <c r="AE18" s="27"/>
      <c r="AF18" s="28"/>
    </row>
    <row r="19" spans="1:32" ht="12.75" customHeight="1" x14ac:dyDescent="0.2">
      <c r="A19" s="29" t="s">
        <v>28</v>
      </c>
      <c r="B19" s="13">
        <v>45033</v>
      </c>
      <c r="C19" s="14">
        <v>4074.9</v>
      </c>
      <c r="D19" s="15">
        <v>227364</v>
      </c>
      <c r="E19" s="15">
        <v>25381</v>
      </c>
      <c r="F19" s="16">
        <f t="shared" si="0"/>
        <v>17.922362379268485</v>
      </c>
      <c r="G19" s="15">
        <v>1821</v>
      </c>
      <c r="H19" s="17">
        <f t="shared" si="1"/>
        <v>8.0091835119016196E-3</v>
      </c>
      <c r="I19" s="18">
        <f t="shared" si="2"/>
        <v>2.2377265238879738</v>
      </c>
      <c r="J19" s="15">
        <v>307</v>
      </c>
      <c r="K19" s="17">
        <f t="shared" si="3"/>
        <v>0.1685886875343218</v>
      </c>
      <c r="L19" s="16">
        <f t="shared" si="4"/>
        <v>13.27328990228013</v>
      </c>
      <c r="M19" s="15">
        <v>41</v>
      </c>
      <c r="N19" s="17">
        <f t="shared" si="5"/>
        <v>0.13355048859934854</v>
      </c>
      <c r="O19" s="19">
        <f t="shared" si="14"/>
        <v>99.387804878048783</v>
      </c>
      <c r="P19" s="15">
        <v>20</v>
      </c>
      <c r="Q19" s="20">
        <f t="shared" si="15"/>
        <v>0.48780487804878048</v>
      </c>
      <c r="R19" s="21">
        <f t="shared" ref="R19:R24" si="19">SUM(C19/P19)</f>
        <v>203.745</v>
      </c>
      <c r="S19" s="22">
        <v>4</v>
      </c>
      <c r="T19" s="17">
        <f t="shared" ref="T19:T24" si="20">SUM(S19/P19)</f>
        <v>0.2</v>
      </c>
      <c r="U19" s="17">
        <f t="shared" si="6"/>
        <v>1.3029315960912053E-2</v>
      </c>
      <c r="V19" s="23">
        <v>9995</v>
      </c>
      <c r="W19" s="23">
        <v>7995</v>
      </c>
      <c r="X19" s="23">
        <v>2400</v>
      </c>
      <c r="Y19" s="21">
        <f t="shared" ref="Y19:Y32" si="21">SUM(C19/S19)</f>
        <v>1018.725</v>
      </c>
      <c r="Z19" s="25">
        <f t="shared" si="7"/>
        <v>5920.1</v>
      </c>
      <c r="AA19" s="25">
        <f t="shared" si="8"/>
        <v>3920.1</v>
      </c>
      <c r="AB19" s="27"/>
      <c r="AC19" s="27"/>
      <c r="AD19" s="27"/>
      <c r="AE19" s="27"/>
      <c r="AF19" s="28"/>
    </row>
    <row r="20" spans="1:32" ht="12.75" customHeight="1" x14ac:dyDescent="0.2">
      <c r="A20" s="29" t="s">
        <v>24</v>
      </c>
      <c r="B20" s="13">
        <v>45034</v>
      </c>
      <c r="C20" s="14">
        <v>3908</v>
      </c>
      <c r="D20" s="15">
        <v>223353</v>
      </c>
      <c r="E20" s="15">
        <v>24770</v>
      </c>
      <c r="F20" s="16">
        <f t="shared" si="0"/>
        <v>17.49696668502326</v>
      </c>
      <c r="G20" s="15">
        <v>1816</v>
      </c>
      <c r="H20" s="17">
        <f t="shared" si="1"/>
        <v>8.1306273029688424E-3</v>
      </c>
      <c r="I20" s="18">
        <f t="shared" si="2"/>
        <v>2.1519823788546257</v>
      </c>
      <c r="J20" s="15">
        <v>299</v>
      </c>
      <c r="K20" s="17">
        <f t="shared" si="3"/>
        <v>0.16464757709251102</v>
      </c>
      <c r="L20" s="16">
        <f t="shared" si="4"/>
        <v>13.070234113712374</v>
      </c>
      <c r="M20" s="15">
        <v>34</v>
      </c>
      <c r="N20" s="17">
        <f t="shared" si="5"/>
        <v>0.11371237458193979</v>
      </c>
      <c r="O20" s="19">
        <f t="shared" si="14"/>
        <v>114.94117647058823</v>
      </c>
      <c r="P20" s="15">
        <v>20</v>
      </c>
      <c r="Q20" s="20">
        <f t="shared" si="15"/>
        <v>0.58823529411764708</v>
      </c>
      <c r="R20" s="21">
        <f t="shared" si="19"/>
        <v>195.4</v>
      </c>
      <c r="S20" s="22">
        <v>3</v>
      </c>
      <c r="T20" s="17">
        <f t="shared" si="20"/>
        <v>0.15</v>
      </c>
      <c r="U20" s="17">
        <f t="shared" si="6"/>
        <v>1.0033444816053512E-2</v>
      </c>
      <c r="V20" s="23">
        <v>18016</v>
      </c>
      <c r="W20" s="23">
        <v>4633</v>
      </c>
      <c r="X20" s="23">
        <v>572</v>
      </c>
      <c r="Y20" s="21">
        <f t="shared" si="21"/>
        <v>1302.6666666666667</v>
      </c>
      <c r="Z20" s="25">
        <f t="shared" si="7"/>
        <v>14108</v>
      </c>
      <c r="AA20" s="25">
        <f t="shared" si="8"/>
        <v>725</v>
      </c>
      <c r="AB20" s="27"/>
      <c r="AC20" s="27"/>
      <c r="AD20" s="27"/>
      <c r="AE20" s="27"/>
      <c r="AF20" s="28"/>
    </row>
    <row r="21" spans="1:32" ht="12.75" customHeight="1" x14ac:dyDescent="0.2">
      <c r="A21" s="29" t="s">
        <v>25</v>
      </c>
      <c r="B21" s="13">
        <v>45035</v>
      </c>
      <c r="C21" s="14">
        <v>3709</v>
      </c>
      <c r="D21" s="15">
        <v>229656</v>
      </c>
      <c r="E21" s="15">
        <v>22251</v>
      </c>
      <c r="F21" s="16">
        <f t="shared" si="0"/>
        <v>16.150242101229665</v>
      </c>
      <c r="G21" s="15">
        <v>1639</v>
      </c>
      <c r="H21" s="17">
        <f t="shared" si="1"/>
        <v>7.1367610687288812E-3</v>
      </c>
      <c r="I21" s="18">
        <f t="shared" si="2"/>
        <v>2.2629652226967663</v>
      </c>
      <c r="J21" s="15">
        <v>313</v>
      </c>
      <c r="K21" s="17">
        <f t="shared" si="3"/>
        <v>0.19097010372178158</v>
      </c>
      <c r="L21" s="16">
        <f t="shared" si="4"/>
        <v>11.849840255591054</v>
      </c>
      <c r="M21" s="15">
        <v>30</v>
      </c>
      <c r="N21" s="17">
        <f t="shared" si="5"/>
        <v>9.5846645367412137E-2</v>
      </c>
      <c r="O21" s="19">
        <f t="shared" si="14"/>
        <v>123.63333333333334</v>
      </c>
      <c r="P21" s="15">
        <v>13</v>
      </c>
      <c r="Q21" s="20">
        <f t="shared" si="15"/>
        <v>0.43333333333333335</v>
      </c>
      <c r="R21" s="21">
        <f t="shared" si="19"/>
        <v>285.30769230769232</v>
      </c>
      <c r="S21" s="22">
        <v>7</v>
      </c>
      <c r="T21" s="17">
        <f t="shared" si="20"/>
        <v>0.53846153846153844</v>
      </c>
      <c r="U21" s="17">
        <f t="shared" si="6"/>
        <v>2.2364217252396165E-2</v>
      </c>
      <c r="V21" s="23">
        <v>19430</v>
      </c>
      <c r="W21" s="23">
        <v>17230</v>
      </c>
      <c r="X21" s="23">
        <v>1385</v>
      </c>
      <c r="Y21" s="21">
        <f t="shared" si="21"/>
        <v>529.85714285714289</v>
      </c>
      <c r="Z21" s="25">
        <f t="shared" si="7"/>
        <v>15721</v>
      </c>
      <c r="AA21" s="25">
        <f t="shared" si="8"/>
        <v>13521</v>
      </c>
      <c r="AB21" s="27"/>
      <c r="AC21" s="27"/>
      <c r="AD21" s="27"/>
      <c r="AE21" s="27"/>
      <c r="AF21" s="32"/>
    </row>
    <row r="22" spans="1:32" ht="12.75" customHeight="1" x14ac:dyDescent="0.2">
      <c r="A22" s="29" t="s">
        <v>24</v>
      </c>
      <c r="B22" s="13">
        <v>45036</v>
      </c>
      <c r="C22" s="14">
        <v>3668.52</v>
      </c>
      <c r="D22" s="15">
        <v>234740</v>
      </c>
      <c r="E22" s="15">
        <v>22504</v>
      </c>
      <c r="F22" s="16">
        <f t="shared" si="0"/>
        <v>15.628013972906194</v>
      </c>
      <c r="G22" s="15">
        <v>1663</v>
      </c>
      <c r="H22" s="17">
        <f t="shared" si="1"/>
        <v>7.0844338416971965E-3</v>
      </c>
      <c r="I22" s="18">
        <f t="shared" si="2"/>
        <v>2.2059651232711968</v>
      </c>
      <c r="J22" s="15">
        <v>310</v>
      </c>
      <c r="K22" s="17">
        <f t="shared" si="3"/>
        <v>0.18641010222489476</v>
      </c>
      <c r="L22" s="16">
        <f t="shared" si="4"/>
        <v>11.833935483870968</v>
      </c>
      <c r="M22" s="15">
        <v>26</v>
      </c>
      <c r="N22" s="17">
        <f t="shared" si="5"/>
        <v>8.387096774193549E-2</v>
      </c>
      <c r="O22" s="19">
        <f t="shared" si="14"/>
        <v>141.09692307692308</v>
      </c>
      <c r="P22" s="15">
        <v>12</v>
      </c>
      <c r="Q22" s="20">
        <f t="shared" si="15"/>
        <v>0.46153846153846156</v>
      </c>
      <c r="R22" s="21">
        <f t="shared" si="19"/>
        <v>305.70999999999998</v>
      </c>
      <c r="S22" s="22">
        <v>2</v>
      </c>
      <c r="T22" s="17">
        <f t="shared" si="20"/>
        <v>0.16666666666666666</v>
      </c>
      <c r="U22" s="17">
        <f t="shared" si="6"/>
        <v>6.4516129032258064E-3</v>
      </c>
      <c r="V22" s="23">
        <v>4495</v>
      </c>
      <c r="W22" s="23">
        <v>4495</v>
      </c>
      <c r="X22" s="23">
        <v>1589</v>
      </c>
      <c r="Y22" s="21">
        <f t="shared" si="21"/>
        <v>1834.26</v>
      </c>
      <c r="Z22" s="25">
        <f t="shared" si="7"/>
        <v>826.48</v>
      </c>
      <c r="AA22" s="25">
        <f t="shared" si="8"/>
        <v>826.48</v>
      </c>
      <c r="AB22" s="27"/>
      <c r="AC22" s="27"/>
      <c r="AD22" s="27"/>
      <c r="AE22" s="27"/>
      <c r="AF22" s="28"/>
    </row>
    <row r="23" spans="1:32" ht="12.75" customHeight="1" x14ac:dyDescent="0.2">
      <c r="A23" s="29" t="s">
        <v>26</v>
      </c>
      <c r="B23" s="13">
        <v>45037</v>
      </c>
      <c r="C23" s="14">
        <v>3902</v>
      </c>
      <c r="D23" s="15">
        <v>230877</v>
      </c>
      <c r="E23" s="15">
        <v>23996</v>
      </c>
      <c r="F23" s="16">
        <f t="shared" si="0"/>
        <v>16.900774005206234</v>
      </c>
      <c r="G23" s="34">
        <v>1733</v>
      </c>
      <c r="H23" s="17">
        <f t="shared" si="1"/>
        <v>7.506161289344543E-3</v>
      </c>
      <c r="I23" s="18">
        <f t="shared" si="2"/>
        <v>2.2515868436237736</v>
      </c>
      <c r="J23" s="15">
        <v>335</v>
      </c>
      <c r="K23" s="17">
        <f t="shared" si="3"/>
        <v>0.19330640507789959</v>
      </c>
      <c r="L23" s="16">
        <f t="shared" si="4"/>
        <v>11.647761194029851</v>
      </c>
      <c r="M23" s="15">
        <v>29</v>
      </c>
      <c r="N23" s="17">
        <f t="shared" si="5"/>
        <v>8.6567164179104483E-2</v>
      </c>
      <c r="O23" s="19">
        <f t="shared" si="14"/>
        <v>134.55172413793105</v>
      </c>
      <c r="P23" s="15">
        <v>15</v>
      </c>
      <c r="Q23" s="20">
        <f t="shared" si="15"/>
        <v>0.51724137931034486</v>
      </c>
      <c r="R23" s="21">
        <f t="shared" si="19"/>
        <v>260.13333333333333</v>
      </c>
      <c r="S23" s="22">
        <v>5</v>
      </c>
      <c r="T23" s="17">
        <f t="shared" si="20"/>
        <v>0.33333333333333331</v>
      </c>
      <c r="U23" s="17">
        <f t="shared" si="6"/>
        <v>1.4925373134328358E-2</v>
      </c>
      <c r="V23" s="23">
        <v>16505</v>
      </c>
      <c r="W23" s="23">
        <v>11030</v>
      </c>
      <c r="X23" s="23">
        <v>1992</v>
      </c>
      <c r="Y23" s="21">
        <f t="shared" si="21"/>
        <v>780.4</v>
      </c>
      <c r="Z23" s="25">
        <f t="shared" si="7"/>
        <v>12603</v>
      </c>
      <c r="AA23" s="25">
        <f t="shared" si="8"/>
        <v>7128</v>
      </c>
      <c r="AB23" s="27"/>
      <c r="AC23" s="27"/>
      <c r="AD23" s="27"/>
      <c r="AE23" s="27"/>
      <c r="AF23" s="32"/>
    </row>
    <row r="24" spans="1:32" ht="12.75" customHeight="1" x14ac:dyDescent="0.2">
      <c r="A24" s="29" t="s">
        <v>27</v>
      </c>
      <c r="B24" s="13">
        <v>45038</v>
      </c>
      <c r="C24" s="14">
        <v>4561.24</v>
      </c>
      <c r="D24" s="15">
        <v>247837</v>
      </c>
      <c r="E24" s="15">
        <v>26328</v>
      </c>
      <c r="F24" s="16">
        <f t="shared" si="0"/>
        <v>18.404193078515313</v>
      </c>
      <c r="G24" s="15">
        <v>2017</v>
      </c>
      <c r="H24" s="17">
        <f t="shared" si="1"/>
        <v>8.1384135540698115E-3</v>
      </c>
      <c r="I24" s="18">
        <f t="shared" si="2"/>
        <v>2.2613981160138819</v>
      </c>
      <c r="J24" s="15">
        <v>371</v>
      </c>
      <c r="K24" s="17">
        <f t="shared" si="3"/>
        <v>0.18393653941497273</v>
      </c>
      <c r="L24" s="16">
        <f t="shared" si="4"/>
        <v>12.2944474393531</v>
      </c>
      <c r="M24" s="15">
        <v>7</v>
      </c>
      <c r="N24" s="17">
        <f t="shared" si="5"/>
        <v>1.8867924528301886E-2</v>
      </c>
      <c r="O24" s="19">
        <f t="shared" si="14"/>
        <v>651.60571428571427</v>
      </c>
      <c r="P24" s="15">
        <v>2</v>
      </c>
      <c r="Q24" s="20">
        <f t="shared" si="15"/>
        <v>0.2857142857142857</v>
      </c>
      <c r="R24" s="21">
        <f t="shared" si="19"/>
        <v>2280.62</v>
      </c>
      <c r="S24" s="22">
        <v>3</v>
      </c>
      <c r="T24" s="17">
        <f t="shared" si="20"/>
        <v>1.5</v>
      </c>
      <c r="U24" s="17">
        <f t="shared" si="6"/>
        <v>8.0862533692722376E-3</v>
      </c>
      <c r="V24" s="23">
        <v>34945</v>
      </c>
      <c r="W24" s="23">
        <v>28045</v>
      </c>
      <c r="X24" s="23">
        <v>302</v>
      </c>
      <c r="Y24" s="21">
        <f t="shared" si="21"/>
        <v>1520.4133333333332</v>
      </c>
      <c r="Z24" s="25">
        <f t="shared" si="7"/>
        <v>30383.760000000002</v>
      </c>
      <c r="AA24" s="25">
        <f t="shared" si="8"/>
        <v>23483.760000000002</v>
      </c>
      <c r="AB24" s="27"/>
      <c r="AC24" s="27"/>
      <c r="AD24" s="27"/>
      <c r="AE24" s="27"/>
      <c r="AF24" s="32"/>
    </row>
    <row r="25" spans="1:32" ht="12.75" customHeight="1" x14ac:dyDescent="0.2">
      <c r="A25" s="29" t="s">
        <v>27</v>
      </c>
      <c r="B25" s="13">
        <v>45039</v>
      </c>
      <c r="C25" s="14">
        <v>5059</v>
      </c>
      <c r="D25" s="15">
        <v>298294</v>
      </c>
      <c r="E25" s="15">
        <v>28913</v>
      </c>
      <c r="F25" s="16">
        <f t="shared" si="0"/>
        <v>16.959777937202894</v>
      </c>
      <c r="G25" s="34">
        <v>2166</v>
      </c>
      <c r="H25" s="17">
        <f t="shared" si="1"/>
        <v>7.2612925503027217E-3</v>
      </c>
      <c r="I25" s="18">
        <f t="shared" si="2"/>
        <v>2.335641735918744</v>
      </c>
      <c r="J25" s="15">
        <v>395</v>
      </c>
      <c r="K25" s="17">
        <f t="shared" si="3"/>
        <v>0.18236380424746076</v>
      </c>
      <c r="L25" s="16">
        <f t="shared" si="4"/>
        <v>12.807594936708862</v>
      </c>
      <c r="M25" s="15">
        <v>2</v>
      </c>
      <c r="N25" s="17">
        <f t="shared" si="5"/>
        <v>5.0632911392405064E-3</v>
      </c>
      <c r="O25" s="19">
        <f t="shared" si="14"/>
        <v>2529.5</v>
      </c>
      <c r="P25" s="15">
        <v>0</v>
      </c>
      <c r="Q25" s="20">
        <f t="shared" si="15"/>
        <v>0</v>
      </c>
      <c r="R25" s="21" t="s">
        <v>29</v>
      </c>
      <c r="S25" s="22">
        <v>2</v>
      </c>
      <c r="T25" s="12" t="s">
        <v>29</v>
      </c>
      <c r="U25" s="17">
        <f t="shared" si="6"/>
        <v>5.0632911392405064E-3</v>
      </c>
      <c r="V25" s="23">
        <v>2090</v>
      </c>
      <c r="W25" s="23">
        <v>2090</v>
      </c>
      <c r="X25" s="23">
        <v>4623</v>
      </c>
      <c r="Y25" s="21">
        <f t="shared" si="21"/>
        <v>2529.5</v>
      </c>
      <c r="Z25" s="25">
        <f t="shared" si="7"/>
        <v>-2969</v>
      </c>
      <c r="AA25" s="25">
        <f t="shared" si="8"/>
        <v>-2969</v>
      </c>
      <c r="AB25" s="27"/>
      <c r="AC25" s="27"/>
      <c r="AD25" s="27"/>
      <c r="AE25" s="27"/>
      <c r="AF25" s="32"/>
    </row>
    <row r="26" spans="1:32" ht="12.75" customHeight="1" x14ac:dyDescent="0.2">
      <c r="A26" s="29" t="s">
        <v>28</v>
      </c>
      <c r="B26" s="13">
        <v>45040</v>
      </c>
      <c r="C26" s="14">
        <v>5019.51</v>
      </c>
      <c r="D26" s="15">
        <v>278718</v>
      </c>
      <c r="E26" s="15">
        <v>28587</v>
      </c>
      <c r="F26" s="16">
        <f t="shared" si="0"/>
        <v>18.009278195165006</v>
      </c>
      <c r="G26" s="15">
        <v>2054</v>
      </c>
      <c r="H26" s="17">
        <f t="shared" si="1"/>
        <v>7.3694558657854889E-3</v>
      </c>
      <c r="I26" s="18">
        <f t="shared" si="2"/>
        <v>2.4437731256085686</v>
      </c>
      <c r="J26" s="15">
        <v>377</v>
      </c>
      <c r="K26" s="17">
        <f t="shared" si="3"/>
        <v>0.18354430379746836</v>
      </c>
      <c r="L26" s="16">
        <f t="shared" si="4"/>
        <v>13.314350132625995</v>
      </c>
      <c r="M26" s="15">
        <v>39</v>
      </c>
      <c r="N26" s="17">
        <f t="shared" si="5"/>
        <v>0.10344827586206896</v>
      </c>
      <c r="O26" s="19">
        <f t="shared" si="14"/>
        <v>128.70538461538462</v>
      </c>
      <c r="P26" s="15">
        <v>26</v>
      </c>
      <c r="Q26" s="20">
        <f t="shared" si="15"/>
        <v>0.66666666666666663</v>
      </c>
      <c r="R26" s="21">
        <f t="shared" ref="R26:R33" si="22">SUM(C26/P26)</f>
        <v>193.05807692307692</v>
      </c>
      <c r="S26" s="22">
        <v>3</v>
      </c>
      <c r="T26" s="17">
        <f t="shared" ref="T26:T33" si="23">SUM(S26/P26)</f>
        <v>0.11538461538461539</v>
      </c>
      <c r="U26" s="17">
        <f t="shared" si="6"/>
        <v>7.9575596816976128E-3</v>
      </c>
      <c r="V26" s="23">
        <v>18600</v>
      </c>
      <c r="W26" s="23">
        <v>16100</v>
      </c>
      <c r="X26" s="23">
        <v>7165</v>
      </c>
      <c r="Y26" s="21">
        <f t="shared" si="21"/>
        <v>1673.17</v>
      </c>
      <c r="Z26" s="25">
        <f t="shared" si="7"/>
        <v>13580.49</v>
      </c>
      <c r="AA26" s="25">
        <f t="shared" si="8"/>
        <v>11080.49</v>
      </c>
      <c r="AB26" s="27"/>
      <c r="AC26" s="27"/>
      <c r="AD26" s="27"/>
      <c r="AE26" s="27"/>
      <c r="AF26" s="29"/>
    </row>
    <row r="27" spans="1:32" ht="12.75" customHeight="1" x14ac:dyDescent="0.2">
      <c r="A27" s="29" t="s">
        <v>24</v>
      </c>
      <c r="B27" s="13">
        <v>45041</v>
      </c>
      <c r="C27" s="14">
        <v>5110</v>
      </c>
      <c r="D27" s="15">
        <v>288791</v>
      </c>
      <c r="E27" s="15">
        <v>27981</v>
      </c>
      <c r="F27" s="16">
        <f t="shared" si="0"/>
        <v>17.694457237240773</v>
      </c>
      <c r="G27" s="34">
        <v>1922</v>
      </c>
      <c r="H27" s="17">
        <f t="shared" si="1"/>
        <v>6.6553320567469204E-3</v>
      </c>
      <c r="I27" s="18">
        <f t="shared" si="2"/>
        <v>2.6586888657648284</v>
      </c>
      <c r="J27" s="15">
        <v>391</v>
      </c>
      <c r="K27" s="17">
        <f t="shared" si="3"/>
        <v>0.20343392299687826</v>
      </c>
      <c r="L27" s="16">
        <f t="shared" si="4"/>
        <v>13.069053708439897</v>
      </c>
      <c r="M27" s="15">
        <v>42</v>
      </c>
      <c r="N27" s="17">
        <f t="shared" si="5"/>
        <v>0.10741687979539642</v>
      </c>
      <c r="O27" s="19">
        <f t="shared" si="14"/>
        <v>121.66666666666667</v>
      </c>
      <c r="P27" s="15">
        <v>25</v>
      </c>
      <c r="Q27" s="20">
        <f t="shared" si="15"/>
        <v>0.59523809523809523</v>
      </c>
      <c r="R27" s="21">
        <f t="shared" si="22"/>
        <v>204.4</v>
      </c>
      <c r="S27" s="22">
        <v>4</v>
      </c>
      <c r="T27" s="17">
        <f t="shared" si="23"/>
        <v>0.16</v>
      </c>
      <c r="U27" s="17">
        <f t="shared" si="6"/>
        <v>1.0230179028132993E-2</v>
      </c>
      <c r="V27" s="23">
        <v>5230</v>
      </c>
      <c r="W27" s="23">
        <v>5230</v>
      </c>
      <c r="X27" s="23">
        <v>4492</v>
      </c>
      <c r="Y27" s="21">
        <f t="shared" si="21"/>
        <v>1277.5</v>
      </c>
      <c r="Z27" s="25">
        <f t="shared" si="7"/>
        <v>120</v>
      </c>
      <c r="AA27" s="25">
        <f t="shared" si="8"/>
        <v>120</v>
      </c>
      <c r="AB27" s="27"/>
      <c r="AC27" s="27"/>
      <c r="AD27" s="27"/>
      <c r="AE27" s="27"/>
      <c r="AF27" s="29"/>
    </row>
    <row r="28" spans="1:32" ht="12.75" customHeight="1" x14ac:dyDescent="0.2">
      <c r="A28" s="29" t="s">
        <v>25</v>
      </c>
      <c r="B28" s="13">
        <v>45042</v>
      </c>
      <c r="C28" s="14">
        <v>5410.76</v>
      </c>
      <c r="D28" s="15">
        <v>302676</v>
      </c>
      <c r="E28" s="15">
        <v>28790</v>
      </c>
      <c r="F28" s="16">
        <f t="shared" si="0"/>
        <v>17.876409097516817</v>
      </c>
      <c r="G28" s="15">
        <v>2016</v>
      </c>
      <c r="H28" s="17">
        <f t="shared" si="1"/>
        <v>6.6605875589739521E-3</v>
      </c>
      <c r="I28" s="18">
        <f t="shared" si="2"/>
        <v>2.6839087301587301</v>
      </c>
      <c r="J28" s="15">
        <v>392</v>
      </c>
      <c r="K28" s="17">
        <f t="shared" si="3"/>
        <v>0.19444444444444445</v>
      </c>
      <c r="L28" s="16">
        <f t="shared" si="4"/>
        <v>13.802959183673471</v>
      </c>
      <c r="M28" s="15">
        <v>34</v>
      </c>
      <c r="N28" s="17">
        <f t="shared" si="5"/>
        <v>8.673469387755102E-2</v>
      </c>
      <c r="O28" s="19">
        <f t="shared" si="14"/>
        <v>159.14000000000001</v>
      </c>
      <c r="P28" s="15">
        <v>13</v>
      </c>
      <c r="Q28" s="20">
        <f t="shared" si="15"/>
        <v>0.38235294117647056</v>
      </c>
      <c r="R28" s="21">
        <f t="shared" si="22"/>
        <v>416.21230769230772</v>
      </c>
      <c r="S28" s="22">
        <v>4</v>
      </c>
      <c r="T28" s="17">
        <f t="shared" si="23"/>
        <v>0.30769230769230771</v>
      </c>
      <c r="U28" s="17">
        <f t="shared" si="6"/>
        <v>1.020408163265306E-2</v>
      </c>
      <c r="V28" s="23">
        <v>157830</v>
      </c>
      <c r="W28" s="23">
        <v>14830</v>
      </c>
      <c r="X28" s="23">
        <v>504</v>
      </c>
      <c r="Y28" s="21">
        <f t="shared" si="21"/>
        <v>1352.69</v>
      </c>
      <c r="Z28" s="25">
        <f t="shared" si="7"/>
        <v>152419.24</v>
      </c>
      <c r="AA28" s="25">
        <f t="shared" si="8"/>
        <v>9419.24</v>
      </c>
      <c r="AB28" s="27"/>
      <c r="AC28" s="27"/>
      <c r="AD28" s="27"/>
      <c r="AE28" s="27"/>
      <c r="AF28" s="29"/>
    </row>
    <row r="29" spans="1:32" ht="12.75" customHeight="1" x14ac:dyDescent="0.2">
      <c r="A29" s="29" t="s">
        <v>24</v>
      </c>
      <c r="B29" s="13">
        <v>45043</v>
      </c>
      <c r="C29" s="14">
        <v>5430</v>
      </c>
      <c r="D29" s="15">
        <v>308080</v>
      </c>
      <c r="E29" s="15">
        <v>29603</v>
      </c>
      <c r="F29" s="16">
        <f t="shared" si="0"/>
        <v>17.625292131913788</v>
      </c>
      <c r="G29" s="15">
        <v>2127</v>
      </c>
      <c r="H29" s="17">
        <f t="shared" si="1"/>
        <v>6.904050895871202E-3</v>
      </c>
      <c r="I29" s="18">
        <f t="shared" si="2"/>
        <v>2.5528913963328632</v>
      </c>
      <c r="J29" s="15">
        <v>357</v>
      </c>
      <c r="K29" s="17">
        <f t="shared" si="3"/>
        <v>0.16784203102961917</v>
      </c>
      <c r="L29" s="16">
        <f t="shared" si="4"/>
        <v>15.210084033613445</v>
      </c>
      <c r="M29" s="15">
        <v>34</v>
      </c>
      <c r="N29" s="17">
        <f t="shared" si="5"/>
        <v>9.5238095238095233E-2</v>
      </c>
      <c r="O29" s="19">
        <f t="shared" si="14"/>
        <v>159.70588235294119</v>
      </c>
      <c r="P29" s="15">
        <v>20</v>
      </c>
      <c r="Q29" s="20">
        <f t="shared" si="15"/>
        <v>0.58823529411764708</v>
      </c>
      <c r="R29" s="21">
        <f t="shared" si="22"/>
        <v>271.5</v>
      </c>
      <c r="S29" s="22">
        <v>9</v>
      </c>
      <c r="T29" s="17">
        <f t="shared" si="23"/>
        <v>0.45</v>
      </c>
      <c r="U29" s="17">
        <f t="shared" si="6"/>
        <v>2.5210084033613446E-2</v>
      </c>
      <c r="V29" s="23">
        <v>23380</v>
      </c>
      <c r="W29" s="23">
        <v>23380</v>
      </c>
      <c r="X29" s="23">
        <v>5038</v>
      </c>
      <c r="Y29" s="21">
        <f t="shared" si="21"/>
        <v>603.33333333333337</v>
      </c>
      <c r="Z29" s="25">
        <f t="shared" si="7"/>
        <v>17950</v>
      </c>
      <c r="AA29" s="25">
        <f t="shared" si="8"/>
        <v>17950</v>
      </c>
      <c r="AB29" s="27"/>
      <c r="AC29" s="27"/>
      <c r="AD29" s="27"/>
      <c r="AE29" s="27"/>
      <c r="AF29" s="28"/>
    </row>
    <row r="30" spans="1:32" ht="12.75" customHeight="1" x14ac:dyDescent="0.2">
      <c r="A30" s="29" t="s">
        <v>26</v>
      </c>
      <c r="B30" s="13">
        <v>45044</v>
      </c>
      <c r="C30" s="14">
        <v>5257.58</v>
      </c>
      <c r="D30" s="15">
        <v>300408</v>
      </c>
      <c r="E30" s="15">
        <v>30670</v>
      </c>
      <c r="F30" s="16">
        <f t="shared" si="0"/>
        <v>17.501464674709062</v>
      </c>
      <c r="G30" s="15">
        <v>2209</v>
      </c>
      <c r="H30" s="17">
        <f t="shared" si="1"/>
        <v>7.3533328007243486E-3</v>
      </c>
      <c r="I30" s="18">
        <f t="shared" si="2"/>
        <v>2.3800724309642374</v>
      </c>
      <c r="J30" s="15">
        <v>337</v>
      </c>
      <c r="K30" s="17">
        <f t="shared" si="3"/>
        <v>0.15255771842462654</v>
      </c>
      <c r="L30" s="16">
        <f t="shared" si="4"/>
        <v>15.601127596439168</v>
      </c>
      <c r="M30" s="15">
        <v>29</v>
      </c>
      <c r="N30" s="17">
        <f t="shared" si="5"/>
        <v>8.6053412462908013E-2</v>
      </c>
      <c r="O30" s="19">
        <f t="shared" si="14"/>
        <v>181.2958620689655</v>
      </c>
      <c r="P30" s="15">
        <v>17</v>
      </c>
      <c r="Q30" s="20">
        <f t="shared" si="15"/>
        <v>0.58620689655172409</v>
      </c>
      <c r="R30" s="21">
        <f t="shared" si="22"/>
        <v>309.26941176470586</v>
      </c>
      <c r="S30" s="22">
        <v>10</v>
      </c>
      <c r="T30" s="17">
        <f t="shared" si="23"/>
        <v>0.58823529411764708</v>
      </c>
      <c r="U30" s="17">
        <f t="shared" si="6"/>
        <v>2.967359050445104E-2</v>
      </c>
      <c r="V30" s="23">
        <v>13426</v>
      </c>
      <c r="W30" s="23">
        <v>13426</v>
      </c>
      <c r="X30" s="23">
        <v>3949</v>
      </c>
      <c r="Y30" s="21">
        <f t="shared" si="21"/>
        <v>525.75800000000004</v>
      </c>
      <c r="Z30" s="25">
        <f t="shared" si="7"/>
        <v>8168.42</v>
      </c>
      <c r="AA30" s="25">
        <f t="shared" si="8"/>
        <v>8168.42</v>
      </c>
      <c r="AB30" s="27"/>
      <c r="AC30" s="27"/>
      <c r="AD30" s="27"/>
      <c r="AE30" s="27"/>
      <c r="AF30" s="32"/>
    </row>
    <row r="31" spans="1:32" ht="12.75" customHeight="1" x14ac:dyDescent="0.2">
      <c r="A31" s="29" t="s">
        <v>27</v>
      </c>
      <c r="B31" s="13">
        <v>45045</v>
      </c>
      <c r="C31" s="14">
        <v>4778</v>
      </c>
      <c r="D31" s="15">
        <v>302652</v>
      </c>
      <c r="E31" s="15">
        <v>30340</v>
      </c>
      <c r="F31" s="16">
        <f t="shared" si="0"/>
        <v>15.787108626409211</v>
      </c>
      <c r="G31" s="15">
        <v>2205</v>
      </c>
      <c r="H31" s="17">
        <f t="shared" si="1"/>
        <v>7.2855953372189843E-3</v>
      </c>
      <c r="I31" s="18">
        <f t="shared" si="2"/>
        <v>2.1668934240362812</v>
      </c>
      <c r="J31" s="15">
        <v>362</v>
      </c>
      <c r="K31" s="17">
        <f t="shared" si="3"/>
        <v>0.16417233560090702</v>
      </c>
      <c r="L31" s="16">
        <f t="shared" si="4"/>
        <v>13.19889502762431</v>
      </c>
      <c r="M31" s="15">
        <v>9</v>
      </c>
      <c r="N31" s="17">
        <f t="shared" si="5"/>
        <v>2.4861878453038673E-2</v>
      </c>
      <c r="O31" s="19">
        <f t="shared" si="14"/>
        <v>530.88888888888891</v>
      </c>
      <c r="P31" s="15">
        <v>6</v>
      </c>
      <c r="Q31" s="20">
        <f t="shared" si="15"/>
        <v>0.66666666666666663</v>
      </c>
      <c r="R31" s="21">
        <f t="shared" si="22"/>
        <v>796.33333333333337</v>
      </c>
      <c r="S31" s="22">
        <v>8</v>
      </c>
      <c r="T31" s="17">
        <f t="shared" si="23"/>
        <v>1.3333333333333333</v>
      </c>
      <c r="U31" s="17">
        <f t="shared" si="6"/>
        <v>2.2099447513812154E-2</v>
      </c>
      <c r="V31" s="23">
        <v>14580</v>
      </c>
      <c r="W31" s="23">
        <v>14580</v>
      </c>
      <c r="X31" s="23">
        <v>4610</v>
      </c>
      <c r="Y31" s="21">
        <f t="shared" si="21"/>
        <v>597.25</v>
      </c>
      <c r="Z31" s="25">
        <f t="shared" si="7"/>
        <v>9802</v>
      </c>
      <c r="AA31" s="25">
        <f t="shared" si="8"/>
        <v>9802</v>
      </c>
      <c r="AB31" s="27"/>
      <c r="AC31" s="27"/>
      <c r="AD31" s="27"/>
      <c r="AE31" s="27"/>
      <c r="AF31" s="28"/>
    </row>
    <row r="32" spans="1:32" ht="12.75" customHeight="1" x14ac:dyDescent="0.2">
      <c r="A32" s="29" t="s">
        <v>27</v>
      </c>
      <c r="B32" s="13">
        <v>45046</v>
      </c>
      <c r="C32" s="14">
        <v>4788.72</v>
      </c>
      <c r="D32" s="15">
        <v>287589</v>
      </c>
      <c r="E32" s="15">
        <v>28509</v>
      </c>
      <c r="F32" s="16">
        <f t="shared" si="0"/>
        <v>16.651262739534545</v>
      </c>
      <c r="G32" s="15">
        <v>2002</v>
      </c>
      <c r="H32" s="17">
        <f t="shared" si="1"/>
        <v>6.9613232773158918E-3</v>
      </c>
      <c r="I32" s="18">
        <f t="shared" si="2"/>
        <v>2.3919680319680321</v>
      </c>
      <c r="J32" s="15">
        <v>377</v>
      </c>
      <c r="K32" s="17">
        <f t="shared" si="3"/>
        <v>0.18831168831168832</v>
      </c>
      <c r="L32" s="16">
        <f t="shared" si="4"/>
        <v>12.702175066312998</v>
      </c>
      <c r="M32" s="15">
        <v>3</v>
      </c>
      <c r="N32" s="17">
        <f t="shared" si="5"/>
        <v>7.9575596816976128E-3</v>
      </c>
      <c r="O32" s="19">
        <f t="shared" si="14"/>
        <v>1596.24</v>
      </c>
      <c r="P32" s="15">
        <v>2</v>
      </c>
      <c r="Q32" s="20">
        <f t="shared" si="15"/>
        <v>0.66666666666666663</v>
      </c>
      <c r="R32" s="21">
        <f t="shared" si="22"/>
        <v>2394.36</v>
      </c>
      <c r="S32" s="22">
        <v>8</v>
      </c>
      <c r="T32" s="17">
        <f t="shared" si="23"/>
        <v>4</v>
      </c>
      <c r="U32" s="17">
        <f t="shared" si="6"/>
        <v>2.1220159151193633E-2</v>
      </c>
      <c r="V32" s="23">
        <v>11620</v>
      </c>
      <c r="W32" s="23">
        <v>9720</v>
      </c>
      <c r="X32" s="23">
        <v>4782</v>
      </c>
      <c r="Y32" s="21">
        <f t="shared" si="21"/>
        <v>598.59</v>
      </c>
      <c r="Z32" s="25">
        <f t="shared" si="7"/>
        <v>6831.28</v>
      </c>
      <c r="AA32" s="25">
        <f t="shared" si="8"/>
        <v>4931.28</v>
      </c>
      <c r="AB32" s="27"/>
      <c r="AC32" s="27"/>
      <c r="AD32" s="27"/>
      <c r="AE32" s="27"/>
      <c r="AF32" s="28"/>
    </row>
    <row r="33" spans="1:32" ht="12.75" customHeight="1" x14ac:dyDescent="0.2">
      <c r="A33" s="35"/>
      <c r="B33" s="35"/>
      <c r="C33" s="5">
        <f t="shared" ref="C33:E33" si="24">SUM(C3:C32)</f>
        <v>140740.26999999999</v>
      </c>
      <c r="D33" s="6">
        <f t="shared" si="24"/>
        <v>8311400</v>
      </c>
      <c r="E33" s="6">
        <f t="shared" si="24"/>
        <v>905982</v>
      </c>
      <c r="F33" s="36">
        <f t="shared" si="0"/>
        <v>16.933401111726063</v>
      </c>
      <c r="G33" s="6">
        <f>SUM(G3:G32)</f>
        <v>62805</v>
      </c>
      <c r="H33" s="3">
        <f t="shared" si="1"/>
        <v>7.5564886782010249E-3</v>
      </c>
      <c r="I33" s="36">
        <f t="shared" si="2"/>
        <v>2.2409086856142024</v>
      </c>
      <c r="J33" s="6">
        <f>SUM(J3:J32)</f>
        <v>10814</v>
      </c>
      <c r="K33" s="37">
        <f t="shared" si="3"/>
        <v>0.17218374333253722</v>
      </c>
      <c r="L33" s="36">
        <f t="shared" si="4"/>
        <v>13.014635657481042</v>
      </c>
      <c r="M33" s="6">
        <f>SUM(M3:M32)</f>
        <v>738</v>
      </c>
      <c r="N33" s="3">
        <f t="shared" si="5"/>
        <v>6.824486776400962E-2</v>
      </c>
      <c r="O33" s="7">
        <f t="shared" si="14"/>
        <v>190.70497289972897</v>
      </c>
      <c r="P33" s="6">
        <f>SUM(P3:P32)</f>
        <v>388</v>
      </c>
      <c r="Q33" s="38">
        <f t="shared" si="15"/>
        <v>0.5257452574525745</v>
      </c>
      <c r="R33" s="7">
        <f t="shared" si="22"/>
        <v>362.73265463917522</v>
      </c>
      <c r="S33" s="4">
        <f>SUM(S3:S32)</f>
        <v>111</v>
      </c>
      <c r="T33" s="38">
        <f t="shared" si="23"/>
        <v>0.28608247422680411</v>
      </c>
      <c r="U33" s="3">
        <f>S33/J33</f>
        <v>1.0264471980765674E-2</v>
      </c>
      <c r="V33" s="7">
        <f t="shared" ref="V33:X33" si="25">SUM(V3:V32)</f>
        <v>658064</v>
      </c>
      <c r="W33" s="7">
        <f t="shared" si="25"/>
        <v>313010</v>
      </c>
      <c r="X33" s="7">
        <f t="shared" si="25"/>
        <v>99666</v>
      </c>
      <c r="Y33" s="7">
        <f>C33/S33</f>
        <v>1267.9303603603603</v>
      </c>
      <c r="Z33" s="7">
        <f t="shared" ref="Z33:AA33" si="26">SUM(Z3:Z32)</f>
        <v>517323.72999999992</v>
      </c>
      <c r="AA33" s="7">
        <f t="shared" si="26"/>
        <v>172269.73000000004</v>
      </c>
      <c r="AB33" s="3">
        <f>Z33/C33</f>
        <v>3.6757335338350563</v>
      </c>
      <c r="AC33" s="3">
        <f>AA33/C33</f>
        <v>1.2240258598338631</v>
      </c>
      <c r="AD33" s="4" t="s">
        <v>33</v>
      </c>
      <c r="AE33" s="4" t="s">
        <v>34</v>
      </c>
      <c r="AF33" s="39"/>
    </row>
    <row r="34" spans="1:32" ht="12.75" customHeight="1" x14ac:dyDescent="0.2">
      <c r="A34" s="40"/>
      <c r="B34" s="40"/>
      <c r="C34" s="41"/>
      <c r="D34" s="40"/>
      <c r="E34" s="40"/>
      <c r="F34" s="40"/>
      <c r="G34" s="40"/>
      <c r="H34" s="40"/>
      <c r="I34" s="40"/>
      <c r="J34" s="42"/>
      <c r="K34" s="40"/>
      <c r="L34" s="40"/>
      <c r="M34" s="42"/>
      <c r="N34" s="43"/>
      <c r="O34" s="40"/>
      <c r="P34" s="42"/>
      <c r="Q34" s="40"/>
      <c r="R34" s="40"/>
      <c r="S34" s="40"/>
      <c r="T34" s="40"/>
      <c r="U34" s="44"/>
      <c r="V34" s="45"/>
      <c r="W34" s="45"/>
      <c r="X34" s="45"/>
      <c r="Y34" s="44"/>
      <c r="Z34" s="44"/>
      <c r="AA34" s="44"/>
      <c r="AB34" s="44"/>
      <c r="AC34" s="44"/>
      <c r="AD34" s="44"/>
      <c r="AE34" s="44"/>
      <c r="AF34" s="46"/>
    </row>
    <row r="35" spans="1:32" ht="15.75" customHeight="1" x14ac:dyDescent="0.2">
      <c r="A35" s="40"/>
      <c r="B35" s="47" t="s">
        <v>35</v>
      </c>
      <c r="C35" s="47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4"/>
      <c r="V35" s="44"/>
      <c r="W35" s="48"/>
      <c r="X35" s="44"/>
      <c r="Y35" s="44"/>
      <c r="Z35" s="44"/>
      <c r="AA35" s="44"/>
      <c r="AB35" s="44"/>
      <c r="AC35" s="44"/>
      <c r="AD35" s="44"/>
      <c r="AE35" s="44"/>
      <c r="AF35" s="49"/>
    </row>
    <row r="36" spans="1:32" ht="15.75" customHeight="1" x14ac:dyDescent="0.2">
      <c r="A36" s="40"/>
      <c r="B36" s="40" t="s">
        <v>45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50"/>
      <c r="X36" s="51"/>
      <c r="Y36" s="44"/>
      <c r="Z36" s="44"/>
      <c r="AA36" s="44"/>
      <c r="AB36" s="44"/>
      <c r="AC36" s="44"/>
      <c r="AD36" s="44"/>
      <c r="AE36" s="44"/>
      <c r="AF36" s="50"/>
    </row>
    <row r="37" spans="1:32" ht="15.75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6"/>
    </row>
    <row r="38" spans="1:32" ht="15.75" customHeight="1" x14ac:dyDescent="0.2">
      <c r="A38" s="40"/>
      <c r="B38" s="47" t="s">
        <v>40</v>
      </c>
      <c r="C38" s="4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49"/>
    </row>
    <row r="39" spans="1:32" ht="15.75" customHeight="1" x14ac:dyDescent="0.2">
      <c r="A39" s="40"/>
      <c r="B39" s="40" t="s">
        <v>41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0"/>
    </row>
    <row r="40" spans="1:32" ht="15.75" customHeight="1" x14ac:dyDescent="0.2">
      <c r="A40" s="40"/>
      <c r="B40" s="40" t="s">
        <v>42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46"/>
    </row>
    <row r="41" spans="1:32" ht="15.75" customHeight="1" x14ac:dyDescent="0.2">
      <c r="A41" s="40"/>
      <c r="B41" s="40" t="s">
        <v>43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46"/>
    </row>
    <row r="42" spans="1:32" ht="15.75" customHeight="1" x14ac:dyDescent="0.2">
      <c r="A42" s="51"/>
      <c r="B42" s="40" t="s">
        <v>44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46"/>
    </row>
    <row r="43" spans="1:32" ht="15.75" customHeight="1" x14ac:dyDescent="0.2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46"/>
    </row>
    <row r="44" spans="1:32" ht="15.75" customHeight="1" x14ac:dyDescent="0.2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46"/>
    </row>
    <row r="45" spans="1:32" ht="15.7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46"/>
    </row>
    <row r="46" spans="1:32" ht="15.7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46"/>
    </row>
    <row r="47" spans="1:32" ht="15.7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46"/>
    </row>
    <row r="48" spans="1:32" ht="15.7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46"/>
    </row>
    <row r="49" spans="1:32" ht="15.7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46"/>
    </row>
    <row r="50" spans="1:32" ht="15.75" customHeight="1" x14ac:dyDescent="0.2">
      <c r="AF50" s="1"/>
    </row>
    <row r="51" spans="1:32" ht="15.75" customHeight="1" x14ac:dyDescent="0.2">
      <c r="AF51" s="1"/>
    </row>
    <row r="52" spans="1:32" ht="15.75" customHeight="1" x14ac:dyDescent="0.2">
      <c r="AF52" s="1"/>
    </row>
    <row r="53" spans="1:32" ht="15.75" customHeight="1" x14ac:dyDescent="0.2">
      <c r="AF53" s="1"/>
    </row>
    <row r="54" spans="1:32" ht="15.75" customHeight="1" x14ac:dyDescent="0.2">
      <c r="AF54" s="1"/>
    </row>
    <row r="55" spans="1:32" ht="15.75" customHeight="1" x14ac:dyDescent="0.2">
      <c r="AF55" s="1"/>
    </row>
    <row r="56" spans="1:32" ht="15.75" customHeight="1" x14ac:dyDescent="0.2">
      <c r="AF56" s="1"/>
    </row>
    <row r="57" spans="1:32" ht="15.75" customHeight="1" x14ac:dyDescent="0.2">
      <c r="AF57" s="1"/>
    </row>
    <row r="58" spans="1:32" ht="15.75" customHeight="1" x14ac:dyDescent="0.2">
      <c r="AF58" s="1"/>
    </row>
    <row r="59" spans="1:32" ht="15.75" customHeight="1" x14ac:dyDescent="0.2">
      <c r="AF59" s="1"/>
    </row>
    <row r="60" spans="1:32" ht="15.75" customHeight="1" x14ac:dyDescent="0.2">
      <c r="AF60" s="1"/>
    </row>
    <row r="61" spans="1:32" ht="15.75" customHeight="1" x14ac:dyDescent="0.2">
      <c r="AF61" s="1"/>
    </row>
    <row r="62" spans="1:32" ht="15.75" customHeight="1" x14ac:dyDescent="0.2">
      <c r="AF62" s="1"/>
    </row>
    <row r="63" spans="1:32" ht="15.75" customHeight="1" x14ac:dyDescent="0.2">
      <c r="AF63" s="1"/>
    </row>
    <row r="64" spans="1:32" ht="15.75" customHeight="1" x14ac:dyDescent="0.2">
      <c r="AF64" s="1"/>
    </row>
    <row r="65" spans="32:32" ht="15.75" customHeight="1" x14ac:dyDescent="0.2">
      <c r="AF65" s="1"/>
    </row>
    <row r="66" spans="32:32" ht="15.75" customHeight="1" x14ac:dyDescent="0.2">
      <c r="AF66" s="1"/>
    </row>
    <row r="67" spans="32:32" ht="15.75" customHeight="1" x14ac:dyDescent="0.2">
      <c r="AF67" s="1"/>
    </row>
    <row r="68" spans="32:32" ht="15.75" customHeight="1" x14ac:dyDescent="0.2">
      <c r="AF68" s="1"/>
    </row>
    <row r="69" spans="32:32" ht="15.75" customHeight="1" x14ac:dyDescent="0.2">
      <c r="AF69" s="1"/>
    </row>
    <row r="70" spans="32:32" ht="15.75" customHeight="1" x14ac:dyDescent="0.2">
      <c r="AF70" s="1"/>
    </row>
    <row r="71" spans="32:32" ht="15.75" customHeight="1" x14ac:dyDescent="0.2">
      <c r="AF71" s="1"/>
    </row>
    <row r="72" spans="32:32" ht="15.75" customHeight="1" x14ac:dyDescent="0.2">
      <c r="AF72" s="1"/>
    </row>
    <row r="73" spans="32:32" ht="15.75" customHeight="1" x14ac:dyDescent="0.2">
      <c r="AF73" s="1"/>
    </row>
    <row r="74" spans="32:32" ht="15.75" customHeight="1" x14ac:dyDescent="0.2">
      <c r="AF74" s="1"/>
    </row>
    <row r="75" spans="32:32" ht="15.75" customHeight="1" x14ac:dyDescent="0.2">
      <c r="AF75" s="1"/>
    </row>
    <row r="76" spans="32:32" ht="15.75" customHeight="1" x14ac:dyDescent="0.2">
      <c r="AF76" s="1"/>
    </row>
    <row r="77" spans="32:32" ht="15.75" customHeight="1" x14ac:dyDescent="0.2">
      <c r="AF77" s="1"/>
    </row>
    <row r="78" spans="32:32" ht="15.75" customHeight="1" x14ac:dyDescent="0.2">
      <c r="AF78" s="1"/>
    </row>
    <row r="79" spans="32:32" ht="15.75" customHeight="1" x14ac:dyDescent="0.2">
      <c r="AF79" s="1"/>
    </row>
    <row r="80" spans="32:32" ht="15.75" customHeight="1" x14ac:dyDescent="0.2">
      <c r="AF80" s="1"/>
    </row>
    <row r="81" spans="32:32" ht="15.75" customHeight="1" x14ac:dyDescent="0.2">
      <c r="AF81" s="1"/>
    </row>
    <row r="82" spans="32:32" ht="15.75" customHeight="1" x14ac:dyDescent="0.2">
      <c r="AF82" s="1"/>
    </row>
    <row r="83" spans="32:32" ht="15.75" customHeight="1" x14ac:dyDescent="0.2">
      <c r="AF83" s="1"/>
    </row>
    <row r="84" spans="32:32" ht="15.75" customHeight="1" x14ac:dyDescent="0.2">
      <c r="AF84" s="1"/>
    </row>
    <row r="85" spans="32:32" ht="15.75" customHeight="1" x14ac:dyDescent="0.2">
      <c r="AF85" s="1"/>
    </row>
    <row r="86" spans="32:32" ht="15.75" customHeight="1" x14ac:dyDescent="0.2">
      <c r="AF86" s="1"/>
    </row>
    <row r="87" spans="32:32" ht="15.75" customHeight="1" x14ac:dyDescent="0.2">
      <c r="AF87" s="1"/>
    </row>
    <row r="88" spans="32:32" ht="15.75" customHeight="1" x14ac:dyDescent="0.2">
      <c r="AF88" s="1"/>
    </row>
    <row r="89" spans="32:32" ht="15.75" customHeight="1" x14ac:dyDescent="0.2">
      <c r="AF89" s="1"/>
    </row>
    <row r="90" spans="32:32" ht="15.75" customHeight="1" x14ac:dyDescent="0.2">
      <c r="AF90" s="1"/>
    </row>
    <row r="91" spans="32:32" ht="15.75" customHeight="1" x14ac:dyDescent="0.2">
      <c r="AF91" s="1"/>
    </row>
    <row r="92" spans="32:32" ht="15.75" customHeight="1" x14ac:dyDescent="0.2">
      <c r="AF92" s="1"/>
    </row>
    <row r="93" spans="32:32" ht="15.75" customHeight="1" x14ac:dyDescent="0.2">
      <c r="AF93" s="1"/>
    </row>
    <row r="94" spans="32:32" ht="15.75" customHeight="1" x14ac:dyDescent="0.2">
      <c r="AF94" s="1"/>
    </row>
    <row r="95" spans="32:32" ht="15.75" customHeight="1" x14ac:dyDescent="0.2">
      <c r="AF95" s="1"/>
    </row>
    <row r="96" spans="32:32" ht="15.75" customHeight="1" x14ac:dyDescent="0.2">
      <c r="AF96" s="1"/>
    </row>
    <row r="97" spans="32:32" ht="15.75" customHeight="1" x14ac:dyDescent="0.2">
      <c r="AF97" s="1"/>
    </row>
    <row r="98" spans="32:32" ht="15.75" customHeight="1" x14ac:dyDescent="0.2">
      <c r="AF98" s="1"/>
    </row>
    <row r="99" spans="32:32" ht="15.75" customHeight="1" x14ac:dyDescent="0.2">
      <c r="AF99" s="1"/>
    </row>
    <row r="100" spans="32:32" ht="15.75" customHeight="1" x14ac:dyDescent="0.2">
      <c r="AF100" s="1"/>
    </row>
    <row r="101" spans="32:32" ht="15.75" customHeight="1" x14ac:dyDescent="0.2">
      <c r="AF101" s="1"/>
    </row>
    <row r="102" spans="32:32" ht="15.75" customHeight="1" x14ac:dyDescent="0.2">
      <c r="AF102" s="1"/>
    </row>
    <row r="103" spans="32:32" ht="15.75" customHeight="1" x14ac:dyDescent="0.2">
      <c r="AF103" s="1"/>
    </row>
    <row r="104" spans="32:32" ht="15.75" customHeight="1" x14ac:dyDescent="0.2">
      <c r="AF104" s="1"/>
    </row>
    <row r="105" spans="32:32" ht="15.75" customHeight="1" x14ac:dyDescent="0.2">
      <c r="AF105" s="1"/>
    </row>
    <row r="106" spans="32:32" ht="15.75" customHeight="1" x14ac:dyDescent="0.2">
      <c r="AF106" s="1"/>
    </row>
    <row r="107" spans="32:32" ht="15.75" customHeight="1" x14ac:dyDescent="0.2">
      <c r="AF107" s="1"/>
    </row>
    <row r="108" spans="32:32" ht="15.75" customHeight="1" x14ac:dyDescent="0.2">
      <c r="AF108" s="1"/>
    </row>
    <row r="109" spans="32:32" ht="15.75" customHeight="1" x14ac:dyDescent="0.2">
      <c r="AF109" s="1"/>
    </row>
    <row r="110" spans="32:32" ht="15.75" customHeight="1" x14ac:dyDescent="0.2">
      <c r="AF110" s="1"/>
    </row>
    <row r="111" spans="32:32" ht="15.75" customHeight="1" x14ac:dyDescent="0.2">
      <c r="AF111" s="1"/>
    </row>
    <row r="112" spans="32:32" ht="15.75" customHeight="1" x14ac:dyDescent="0.2">
      <c r="AF112" s="1"/>
    </row>
    <row r="113" spans="32:32" ht="15.75" customHeight="1" x14ac:dyDescent="0.2">
      <c r="AF113" s="1"/>
    </row>
    <row r="114" spans="32:32" ht="15.75" customHeight="1" x14ac:dyDescent="0.2">
      <c r="AF114" s="1"/>
    </row>
    <row r="115" spans="32:32" ht="15.75" customHeight="1" x14ac:dyDescent="0.2">
      <c r="AF115" s="1"/>
    </row>
    <row r="116" spans="32:32" ht="15.75" customHeight="1" x14ac:dyDescent="0.2">
      <c r="AF116" s="1"/>
    </row>
    <row r="117" spans="32:32" ht="15.75" customHeight="1" x14ac:dyDescent="0.2">
      <c r="AF117" s="1"/>
    </row>
    <row r="118" spans="32:32" ht="15.75" customHeight="1" x14ac:dyDescent="0.2">
      <c r="AF118" s="1"/>
    </row>
    <row r="119" spans="32:32" ht="15.75" customHeight="1" x14ac:dyDescent="0.2">
      <c r="AF119" s="1"/>
    </row>
    <row r="120" spans="32:32" ht="15.75" customHeight="1" x14ac:dyDescent="0.2">
      <c r="AF120" s="1"/>
    </row>
    <row r="121" spans="32:32" ht="15.75" customHeight="1" x14ac:dyDescent="0.2">
      <c r="AF121" s="1"/>
    </row>
    <row r="122" spans="32:32" ht="15.75" customHeight="1" x14ac:dyDescent="0.2">
      <c r="AF122" s="1"/>
    </row>
    <row r="123" spans="32:32" ht="15.75" customHeight="1" x14ac:dyDescent="0.2">
      <c r="AF123" s="1"/>
    </row>
    <row r="124" spans="32:32" ht="15.75" customHeight="1" x14ac:dyDescent="0.2">
      <c r="AF124" s="1"/>
    </row>
    <row r="125" spans="32:32" ht="15.75" customHeight="1" x14ac:dyDescent="0.2">
      <c r="AF125" s="1"/>
    </row>
    <row r="126" spans="32:32" ht="15.75" customHeight="1" x14ac:dyDescent="0.2">
      <c r="AF126" s="1"/>
    </row>
    <row r="127" spans="32:32" ht="15.75" customHeight="1" x14ac:dyDescent="0.2">
      <c r="AF127" s="1"/>
    </row>
    <row r="128" spans="32:32" ht="15.75" customHeight="1" x14ac:dyDescent="0.2">
      <c r="AF128" s="1"/>
    </row>
    <row r="129" spans="32:32" ht="15.75" customHeight="1" x14ac:dyDescent="0.2">
      <c r="AF129" s="1"/>
    </row>
    <row r="130" spans="32:32" ht="15.75" customHeight="1" x14ac:dyDescent="0.2">
      <c r="AF130" s="1"/>
    </row>
    <row r="131" spans="32:32" ht="15.75" customHeight="1" x14ac:dyDescent="0.2">
      <c r="AF131" s="1"/>
    </row>
    <row r="132" spans="32:32" ht="15.75" customHeight="1" x14ac:dyDescent="0.2">
      <c r="AF132" s="1"/>
    </row>
    <row r="133" spans="32:32" ht="15.75" customHeight="1" x14ac:dyDescent="0.2">
      <c r="AF133" s="1"/>
    </row>
    <row r="134" spans="32:32" ht="15.75" customHeight="1" x14ac:dyDescent="0.2">
      <c r="AF134" s="1"/>
    </row>
    <row r="135" spans="32:32" ht="15.75" customHeight="1" x14ac:dyDescent="0.2">
      <c r="AF135" s="1"/>
    </row>
    <row r="136" spans="32:32" ht="15.75" customHeight="1" x14ac:dyDescent="0.2">
      <c r="AF136" s="1"/>
    </row>
    <row r="137" spans="32:32" ht="15.75" customHeight="1" x14ac:dyDescent="0.2">
      <c r="AF137" s="1"/>
    </row>
    <row r="138" spans="32:32" ht="15.75" customHeight="1" x14ac:dyDescent="0.2">
      <c r="AF138" s="1"/>
    </row>
    <row r="139" spans="32:32" ht="15.75" customHeight="1" x14ac:dyDescent="0.2">
      <c r="AF139" s="1"/>
    </row>
    <row r="140" spans="32:32" ht="15.75" customHeight="1" x14ac:dyDescent="0.2">
      <c r="AF140" s="1"/>
    </row>
    <row r="141" spans="32:32" ht="15.75" customHeight="1" x14ac:dyDescent="0.2">
      <c r="AF141" s="1"/>
    </row>
    <row r="142" spans="32:32" ht="15.75" customHeight="1" x14ac:dyDescent="0.2">
      <c r="AF142" s="1"/>
    </row>
    <row r="143" spans="32:32" ht="15.75" customHeight="1" x14ac:dyDescent="0.2">
      <c r="AF143" s="1"/>
    </row>
    <row r="144" spans="32:32" ht="15.75" customHeight="1" x14ac:dyDescent="0.2">
      <c r="AF144" s="1"/>
    </row>
    <row r="145" spans="32:32" ht="15.75" customHeight="1" x14ac:dyDescent="0.2">
      <c r="AF145" s="1"/>
    </row>
    <row r="146" spans="32:32" ht="15.75" customHeight="1" x14ac:dyDescent="0.2">
      <c r="AF146" s="1"/>
    </row>
    <row r="147" spans="32:32" ht="15.75" customHeight="1" x14ac:dyDescent="0.2">
      <c r="AF147" s="1"/>
    </row>
    <row r="148" spans="32:32" ht="15.75" customHeight="1" x14ac:dyDescent="0.2">
      <c r="AF148" s="1"/>
    </row>
    <row r="149" spans="32:32" ht="15.75" customHeight="1" x14ac:dyDescent="0.2">
      <c r="AF149" s="1"/>
    </row>
    <row r="150" spans="32:32" ht="15.75" customHeight="1" x14ac:dyDescent="0.2">
      <c r="AF150" s="1"/>
    </row>
    <row r="151" spans="32:32" ht="15.75" customHeight="1" x14ac:dyDescent="0.2">
      <c r="AF151" s="1"/>
    </row>
    <row r="152" spans="32:32" ht="15.75" customHeight="1" x14ac:dyDescent="0.2">
      <c r="AF152" s="1"/>
    </row>
    <row r="153" spans="32:32" ht="15.75" customHeight="1" x14ac:dyDescent="0.2">
      <c r="AF153" s="1"/>
    </row>
    <row r="154" spans="32:32" ht="15.75" customHeight="1" x14ac:dyDescent="0.2">
      <c r="AF154" s="1"/>
    </row>
    <row r="155" spans="32:32" ht="15.75" customHeight="1" x14ac:dyDescent="0.2">
      <c r="AF155" s="1"/>
    </row>
    <row r="156" spans="32:32" ht="15.75" customHeight="1" x14ac:dyDescent="0.2">
      <c r="AF156" s="1"/>
    </row>
    <row r="157" spans="32:32" ht="15.75" customHeight="1" x14ac:dyDescent="0.2">
      <c r="AF157" s="1"/>
    </row>
    <row r="158" spans="32:32" ht="15.75" customHeight="1" x14ac:dyDescent="0.2">
      <c r="AF158" s="1"/>
    </row>
    <row r="159" spans="32:32" ht="15.75" customHeight="1" x14ac:dyDescent="0.2">
      <c r="AF159" s="1"/>
    </row>
    <row r="160" spans="32:32" ht="15.75" customHeight="1" x14ac:dyDescent="0.2">
      <c r="AF160" s="1"/>
    </row>
    <row r="161" spans="32:32" ht="15.75" customHeight="1" x14ac:dyDescent="0.2">
      <c r="AF161" s="1"/>
    </row>
    <row r="162" spans="32:32" ht="15.75" customHeight="1" x14ac:dyDescent="0.2">
      <c r="AF162" s="1"/>
    </row>
    <row r="163" spans="32:32" ht="15.75" customHeight="1" x14ac:dyDescent="0.2">
      <c r="AF163" s="1"/>
    </row>
    <row r="164" spans="32:32" ht="15.75" customHeight="1" x14ac:dyDescent="0.2">
      <c r="AF164" s="1"/>
    </row>
    <row r="165" spans="32:32" ht="15.75" customHeight="1" x14ac:dyDescent="0.2">
      <c r="AF165" s="1"/>
    </row>
    <row r="166" spans="32:32" ht="15.75" customHeight="1" x14ac:dyDescent="0.2">
      <c r="AF166" s="1"/>
    </row>
    <row r="167" spans="32:32" ht="15.75" customHeight="1" x14ac:dyDescent="0.2">
      <c r="AF167" s="1"/>
    </row>
    <row r="168" spans="32:32" ht="15.75" customHeight="1" x14ac:dyDescent="0.2">
      <c r="AF168" s="1"/>
    </row>
    <row r="169" spans="32:32" ht="15.75" customHeight="1" x14ac:dyDescent="0.2">
      <c r="AF169" s="1"/>
    </row>
    <row r="170" spans="32:32" ht="15.75" customHeight="1" x14ac:dyDescent="0.2">
      <c r="AF170" s="1"/>
    </row>
    <row r="171" spans="32:32" ht="15.75" customHeight="1" x14ac:dyDescent="0.2">
      <c r="AF171" s="1"/>
    </row>
    <row r="172" spans="32:32" ht="15.75" customHeight="1" x14ac:dyDescent="0.2">
      <c r="AF172" s="1"/>
    </row>
    <row r="173" spans="32:32" ht="15.75" customHeight="1" x14ac:dyDescent="0.2">
      <c r="AF173" s="1"/>
    </row>
    <row r="174" spans="32:32" ht="15.75" customHeight="1" x14ac:dyDescent="0.2">
      <c r="AF174" s="1"/>
    </row>
    <row r="175" spans="32:32" ht="15.75" customHeight="1" x14ac:dyDescent="0.2">
      <c r="AF175" s="1"/>
    </row>
    <row r="176" spans="32:32" ht="15.75" customHeight="1" x14ac:dyDescent="0.2">
      <c r="AF176" s="1"/>
    </row>
    <row r="177" spans="32:32" ht="15.75" customHeight="1" x14ac:dyDescent="0.2">
      <c r="AF177" s="1"/>
    </row>
    <row r="178" spans="32:32" ht="15.75" customHeight="1" x14ac:dyDescent="0.2">
      <c r="AF178" s="1"/>
    </row>
    <row r="179" spans="32:32" ht="15.75" customHeight="1" x14ac:dyDescent="0.2">
      <c r="AF179" s="1"/>
    </row>
    <row r="180" spans="32:32" ht="15.75" customHeight="1" x14ac:dyDescent="0.2">
      <c r="AF180" s="1"/>
    </row>
    <row r="181" spans="32:32" ht="15.75" customHeight="1" x14ac:dyDescent="0.2">
      <c r="AF181" s="1"/>
    </row>
    <row r="182" spans="32:32" ht="15.75" customHeight="1" x14ac:dyDescent="0.2">
      <c r="AF182" s="1"/>
    </row>
    <row r="183" spans="32:32" ht="15.75" customHeight="1" x14ac:dyDescent="0.2">
      <c r="AF183" s="1"/>
    </row>
    <row r="184" spans="32:32" ht="15.75" customHeight="1" x14ac:dyDescent="0.2">
      <c r="AF184" s="1"/>
    </row>
    <row r="185" spans="32:32" ht="15.75" customHeight="1" x14ac:dyDescent="0.2">
      <c r="AF185" s="1"/>
    </row>
    <row r="186" spans="32:32" ht="15.75" customHeight="1" x14ac:dyDescent="0.2">
      <c r="AF186" s="1"/>
    </row>
    <row r="187" spans="32:32" ht="15.75" customHeight="1" x14ac:dyDescent="0.2">
      <c r="AF187" s="1"/>
    </row>
    <row r="188" spans="32:32" ht="15.75" customHeight="1" x14ac:dyDescent="0.2">
      <c r="AF188" s="1"/>
    </row>
    <row r="189" spans="32:32" ht="15.75" customHeight="1" x14ac:dyDescent="0.2">
      <c r="AF189" s="1"/>
    </row>
    <row r="190" spans="32:32" ht="15.75" customHeight="1" x14ac:dyDescent="0.2">
      <c r="AF190" s="1"/>
    </row>
    <row r="191" spans="32:32" ht="15.75" customHeight="1" x14ac:dyDescent="0.2">
      <c r="AF191" s="1"/>
    </row>
    <row r="192" spans="32:32" ht="15.75" customHeight="1" x14ac:dyDescent="0.2">
      <c r="AF192" s="1"/>
    </row>
    <row r="193" spans="32:32" ht="15.75" customHeight="1" x14ac:dyDescent="0.2">
      <c r="AF193" s="1"/>
    </row>
    <row r="194" spans="32:32" ht="15.75" customHeight="1" x14ac:dyDescent="0.2">
      <c r="AF194" s="1"/>
    </row>
    <row r="195" spans="32:32" ht="15.75" customHeight="1" x14ac:dyDescent="0.2">
      <c r="AF195" s="1"/>
    </row>
    <row r="196" spans="32:32" ht="15.75" customHeight="1" x14ac:dyDescent="0.2">
      <c r="AF196" s="1"/>
    </row>
    <row r="197" spans="32:32" ht="15.75" customHeight="1" x14ac:dyDescent="0.2">
      <c r="AF197" s="1"/>
    </row>
    <row r="198" spans="32:32" ht="15.75" customHeight="1" x14ac:dyDescent="0.2">
      <c r="AF198" s="1"/>
    </row>
    <row r="199" spans="32:32" ht="15.75" customHeight="1" x14ac:dyDescent="0.2">
      <c r="AF199" s="1"/>
    </row>
    <row r="200" spans="32:32" ht="15.75" customHeight="1" x14ac:dyDescent="0.2">
      <c r="AF200" s="1"/>
    </row>
    <row r="201" spans="32:32" ht="15.75" customHeight="1" x14ac:dyDescent="0.2">
      <c r="AF201" s="1"/>
    </row>
    <row r="202" spans="32:32" ht="15.75" customHeight="1" x14ac:dyDescent="0.2">
      <c r="AF202" s="1"/>
    </row>
    <row r="203" spans="32:32" ht="15.75" customHeight="1" x14ac:dyDescent="0.2">
      <c r="AF203" s="1"/>
    </row>
    <row r="204" spans="32:32" ht="15.75" customHeight="1" x14ac:dyDescent="0.2">
      <c r="AF204" s="1"/>
    </row>
    <row r="205" spans="32:32" ht="15.75" customHeight="1" x14ac:dyDescent="0.2">
      <c r="AF205" s="1"/>
    </row>
    <row r="206" spans="32:32" ht="15.75" customHeight="1" x14ac:dyDescent="0.2">
      <c r="AF206" s="1"/>
    </row>
    <row r="207" spans="32:32" ht="15.75" customHeight="1" x14ac:dyDescent="0.2">
      <c r="AF207" s="1"/>
    </row>
    <row r="208" spans="32:32" ht="15.75" customHeight="1" x14ac:dyDescent="0.2">
      <c r="AF208" s="1"/>
    </row>
    <row r="209" spans="32:32" ht="15.75" customHeight="1" x14ac:dyDescent="0.2">
      <c r="AF209" s="1"/>
    </row>
    <row r="210" spans="32:32" ht="15.75" customHeight="1" x14ac:dyDescent="0.2">
      <c r="AF210" s="1"/>
    </row>
    <row r="211" spans="32:32" ht="15.75" customHeight="1" x14ac:dyDescent="0.2">
      <c r="AF211" s="1"/>
    </row>
    <row r="212" spans="32:32" ht="15.75" customHeight="1" x14ac:dyDescent="0.2">
      <c r="AF212" s="1"/>
    </row>
    <row r="213" spans="32:32" ht="15.75" customHeight="1" x14ac:dyDescent="0.2">
      <c r="AF213" s="1"/>
    </row>
    <row r="214" spans="32:32" ht="15.75" customHeight="1" x14ac:dyDescent="0.2">
      <c r="AF214" s="1"/>
    </row>
    <row r="215" spans="32:32" ht="15.75" customHeight="1" x14ac:dyDescent="0.2">
      <c r="AF215" s="1"/>
    </row>
    <row r="216" spans="32:32" ht="15.75" customHeight="1" x14ac:dyDescent="0.2">
      <c r="AF216" s="1"/>
    </row>
    <row r="217" spans="32:32" ht="15.75" customHeight="1" x14ac:dyDescent="0.2">
      <c r="AF217" s="1"/>
    </row>
    <row r="218" spans="32:32" ht="15.75" customHeight="1" x14ac:dyDescent="0.2">
      <c r="AF218" s="1"/>
    </row>
    <row r="219" spans="32:32" ht="15.75" customHeight="1" x14ac:dyDescent="0.2">
      <c r="AF219" s="1"/>
    </row>
    <row r="220" spans="32:32" ht="15.75" customHeight="1" x14ac:dyDescent="0.2">
      <c r="AF220" s="1"/>
    </row>
    <row r="221" spans="32:32" ht="15.75" customHeight="1" x14ac:dyDescent="0.2">
      <c r="AF221" s="1"/>
    </row>
    <row r="222" spans="32:32" ht="15.75" customHeight="1" x14ac:dyDescent="0.2">
      <c r="AF222" s="1"/>
    </row>
    <row r="223" spans="32:32" ht="15.75" customHeight="1" x14ac:dyDescent="0.2">
      <c r="AF223" s="1"/>
    </row>
    <row r="224" spans="32:32" ht="15.75" customHeight="1" x14ac:dyDescent="0.2">
      <c r="AF224" s="1"/>
    </row>
    <row r="225" spans="32:32" ht="15.75" customHeight="1" x14ac:dyDescent="0.2">
      <c r="AF225" s="1"/>
    </row>
    <row r="226" spans="32:32" ht="15.75" customHeight="1" x14ac:dyDescent="0.2">
      <c r="AF226" s="1"/>
    </row>
    <row r="227" spans="32:32" ht="15.75" customHeight="1" x14ac:dyDescent="0.2">
      <c r="AF227" s="1"/>
    </row>
    <row r="228" spans="32:32" ht="15.75" customHeight="1" x14ac:dyDescent="0.2">
      <c r="AF228" s="1"/>
    </row>
    <row r="229" spans="32:32" ht="15.75" customHeight="1" x14ac:dyDescent="0.2">
      <c r="AF229" s="1"/>
    </row>
    <row r="230" spans="32:32" ht="15.75" customHeight="1" x14ac:dyDescent="0.2">
      <c r="AF230" s="1"/>
    </row>
    <row r="231" spans="32:32" ht="15.75" customHeight="1" x14ac:dyDescent="0.2">
      <c r="AF231" s="1"/>
    </row>
    <row r="232" spans="32:32" ht="15.75" customHeight="1" x14ac:dyDescent="0.2">
      <c r="AF232" s="1"/>
    </row>
    <row r="233" spans="32:32" ht="15.75" customHeight="1" x14ac:dyDescent="0.2">
      <c r="AF233" s="1"/>
    </row>
    <row r="234" spans="32:32" ht="15.75" customHeight="1" x14ac:dyDescent="0.2">
      <c r="AF234" s="1"/>
    </row>
    <row r="235" spans="32:32" ht="15.75" customHeight="1" x14ac:dyDescent="0.2">
      <c r="AF235" s="1"/>
    </row>
    <row r="236" spans="32:32" ht="15.75" customHeight="1" x14ac:dyDescent="0.2">
      <c r="AF236" s="1"/>
    </row>
    <row r="237" spans="32:32" ht="15.75" customHeight="1" x14ac:dyDescent="0.2">
      <c r="AF237" s="1"/>
    </row>
    <row r="238" spans="32:32" ht="15.75" customHeight="1" x14ac:dyDescent="0.2">
      <c r="AF238" s="1"/>
    </row>
    <row r="239" spans="32:32" ht="15.75" customHeight="1" x14ac:dyDescent="0.2">
      <c r="AF239" s="1"/>
    </row>
    <row r="240" spans="32:32" ht="15.75" customHeight="1" x14ac:dyDescent="0.2">
      <c r="AF240" s="1"/>
    </row>
    <row r="241" spans="32:32" ht="15.75" customHeight="1" x14ac:dyDescent="0.2">
      <c r="AF241" s="1"/>
    </row>
    <row r="242" spans="32:32" ht="15.75" customHeight="1" x14ac:dyDescent="0.2">
      <c r="AF242" s="1"/>
    </row>
    <row r="243" spans="32:32" ht="15.75" customHeight="1" x14ac:dyDescent="0.2">
      <c r="AF243" s="1"/>
    </row>
    <row r="244" spans="32:32" ht="15.75" customHeight="1" x14ac:dyDescent="0.2">
      <c r="AF244" s="1"/>
    </row>
    <row r="245" spans="32:32" ht="15.75" customHeight="1" x14ac:dyDescent="0.2">
      <c r="AF245" s="1"/>
    </row>
    <row r="246" spans="32:32" ht="15.75" customHeight="1" x14ac:dyDescent="0.2">
      <c r="AF246" s="1"/>
    </row>
    <row r="247" spans="32:32" ht="15.75" customHeight="1" x14ac:dyDescent="0.2">
      <c r="AF247" s="1"/>
    </row>
    <row r="248" spans="32:32" ht="15.75" customHeight="1" x14ac:dyDescent="0.2">
      <c r="AF248" s="1"/>
    </row>
    <row r="249" spans="32:32" ht="15.75" customHeight="1" x14ac:dyDescent="0.2">
      <c r="AF249" s="1"/>
    </row>
    <row r="250" spans="32:32" ht="15.75" customHeight="1" x14ac:dyDescent="0.2">
      <c r="AF250" s="1"/>
    </row>
    <row r="251" spans="32:32" ht="15.75" customHeight="1" x14ac:dyDescent="0.2">
      <c r="AF251" s="1"/>
    </row>
    <row r="252" spans="32:32" ht="15.75" customHeight="1" x14ac:dyDescent="0.2">
      <c r="AF252" s="1"/>
    </row>
    <row r="253" spans="32:32" ht="15.75" customHeight="1" x14ac:dyDescent="0.2">
      <c r="AF253" s="1"/>
    </row>
    <row r="254" spans="32:32" ht="15.75" customHeight="1" x14ac:dyDescent="0.2">
      <c r="AF254" s="1"/>
    </row>
    <row r="255" spans="32:32" ht="15.75" customHeight="1" x14ac:dyDescent="0.2">
      <c r="AF255" s="1"/>
    </row>
    <row r="256" spans="32:32" ht="15.75" customHeight="1" x14ac:dyDescent="0.2">
      <c r="AF256" s="1"/>
    </row>
    <row r="257" spans="32:32" ht="15.75" customHeight="1" x14ac:dyDescent="0.2">
      <c r="AF257" s="1"/>
    </row>
    <row r="258" spans="32:32" ht="15.75" customHeight="1" x14ac:dyDescent="0.2">
      <c r="AF258" s="1"/>
    </row>
    <row r="259" spans="32:32" ht="15.75" customHeight="1" x14ac:dyDescent="0.2">
      <c r="AF259" s="1"/>
    </row>
    <row r="260" spans="32:32" ht="15.75" customHeight="1" x14ac:dyDescent="0.2">
      <c r="AF260" s="1"/>
    </row>
    <row r="261" spans="32:32" ht="15.75" customHeight="1" x14ac:dyDescent="0.2">
      <c r="AF261" s="1"/>
    </row>
    <row r="262" spans="32:32" ht="15.75" customHeight="1" x14ac:dyDescent="0.2">
      <c r="AF262" s="1"/>
    </row>
    <row r="263" spans="32:32" ht="15.75" customHeight="1" x14ac:dyDescent="0.2">
      <c r="AF263" s="1"/>
    </row>
    <row r="264" spans="32:32" ht="15.75" customHeight="1" x14ac:dyDescent="0.2">
      <c r="AF264" s="1"/>
    </row>
    <row r="265" spans="32:32" ht="15.75" customHeight="1" x14ac:dyDescent="0.2">
      <c r="AF265" s="1"/>
    </row>
    <row r="266" spans="32:32" ht="15.75" customHeight="1" x14ac:dyDescent="0.2">
      <c r="AF266" s="1"/>
    </row>
    <row r="267" spans="32:32" ht="15.75" customHeight="1" x14ac:dyDescent="0.2">
      <c r="AF267" s="1"/>
    </row>
    <row r="268" spans="32:32" ht="15.75" customHeight="1" x14ac:dyDescent="0.2">
      <c r="AF268" s="1"/>
    </row>
    <row r="269" spans="32:32" ht="15.75" customHeight="1" x14ac:dyDescent="0.2">
      <c r="AF269" s="1"/>
    </row>
    <row r="270" spans="32:32" ht="15.75" customHeight="1" x14ac:dyDescent="0.2">
      <c r="AF270" s="1"/>
    </row>
    <row r="271" spans="32:32" ht="15.75" customHeight="1" x14ac:dyDescent="0.2">
      <c r="AF271" s="1"/>
    </row>
    <row r="272" spans="32:32" ht="15.75" customHeight="1" x14ac:dyDescent="0.2">
      <c r="AF272" s="1"/>
    </row>
    <row r="273" spans="32:32" ht="15.75" customHeight="1" x14ac:dyDescent="0.2">
      <c r="AF273" s="1"/>
    </row>
    <row r="274" spans="32:32" ht="15.75" customHeight="1" x14ac:dyDescent="0.2">
      <c r="AF274" s="1"/>
    </row>
    <row r="275" spans="32:32" ht="15.75" customHeight="1" x14ac:dyDescent="0.2">
      <c r="AF275" s="1"/>
    </row>
    <row r="276" spans="32:32" ht="15.75" customHeight="1" x14ac:dyDescent="0.2">
      <c r="AF276" s="1"/>
    </row>
    <row r="277" spans="32:32" ht="15.75" customHeight="1" x14ac:dyDescent="0.2">
      <c r="AF277" s="1"/>
    </row>
    <row r="278" spans="32:32" ht="15.75" customHeight="1" x14ac:dyDescent="0.2">
      <c r="AF278" s="1"/>
    </row>
    <row r="279" spans="32:32" ht="15.75" customHeight="1" x14ac:dyDescent="0.2">
      <c r="AF279" s="1"/>
    </row>
    <row r="280" spans="32:32" ht="15.75" customHeight="1" x14ac:dyDescent="0.2">
      <c r="AF280" s="1"/>
    </row>
    <row r="281" spans="32:32" ht="15.75" customHeight="1" x14ac:dyDescent="0.2">
      <c r="AF281" s="1"/>
    </row>
    <row r="282" spans="32:32" ht="15.75" customHeight="1" x14ac:dyDescent="0.2">
      <c r="AF282" s="1"/>
    </row>
    <row r="283" spans="32:32" ht="15.75" customHeight="1" x14ac:dyDescent="0.2">
      <c r="AF283" s="1"/>
    </row>
    <row r="284" spans="32:32" ht="15.75" customHeight="1" x14ac:dyDescent="0.2">
      <c r="AF284" s="1"/>
    </row>
    <row r="285" spans="32:32" ht="15.75" customHeight="1" x14ac:dyDescent="0.2">
      <c r="AF285" s="1"/>
    </row>
    <row r="286" spans="32:32" ht="15.75" customHeight="1" x14ac:dyDescent="0.2">
      <c r="AF286" s="1"/>
    </row>
    <row r="287" spans="32:32" ht="15.75" customHeight="1" x14ac:dyDescent="0.2">
      <c r="AF287" s="1"/>
    </row>
    <row r="288" spans="32:32" ht="15.75" customHeight="1" x14ac:dyDescent="0.2">
      <c r="AF288" s="1"/>
    </row>
    <row r="289" spans="32:32" ht="15.75" customHeight="1" x14ac:dyDescent="0.2">
      <c r="AF289" s="1"/>
    </row>
    <row r="290" spans="32:32" ht="15.75" customHeight="1" x14ac:dyDescent="0.2">
      <c r="AF290" s="1"/>
    </row>
    <row r="291" spans="32:32" ht="15.75" customHeight="1" x14ac:dyDescent="0.2">
      <c r="AF291" s="1"/>
    </row>
    <row r="292" spans="32:32" ht="15.75" customHeight="1" x14ac:dyDescent="0.2">
      <c r="AF292" s="1"/>
    </row>
    <row r="293" spans="32:32" ht="15.75" customHeight="1" x14ac:dyDescent="0.2">
      <c r="AF293" s="1"/>
    </row>
    <row r="294" spans="32:32" ht="15.75" customHeight="1" x14ac:dyDescent="0.2">
      <c r="AF294" s="1"/>
    </row>
    <row r="295" spans="32:32" ht="15.75" customHeight="1" x14ac:dyDescent="0.2">
      <c r="AF295" s="1"/>
    </row>
    <row r="296" spans="32:32" ht="15.75" customHeight="1" x14ac:dyDescent="0.2">
      <c r="AF296" s="1"/>
    </row>
    <row r="297" spans="32:32" ht="15.75" customHeight="1" x14ac:dyDescent="0.2">
      <c r="AF297" s="1"/>
    </row>
    <row r="298" spans="32:32" ht="15.75" customHeight="1" x14ac:dyDescent="0.2">
      <c r="AF298" s="1"/>
    </row>
    <row r="299" spans="32:32" ht="15.75" customHeight="1" x14ac:dyDescent="0.2">
      <c r="AF299" s="1"/>
    </row>
    <row r="300" spans="32:32" ht="15.75" customHeight="1" x14ac:dyDescent="0.2">
      <c r="AF300" s="1"/>
    </row>
    <row r="301" spans="32:32" ht="15.75" customHeight="1" x14ac:dyDescent="0.2">
      <c r="AF301" s="1"/>
    </row>
    <row r="302" spans="32:32" ht="15.75" customHeight="1" x14ac:dyDescent="0.2">
      <c r="AF302" s="1"/>
    </row>
    <row r="303" spans="32:32" ht="15.75" customHeight="1" x14ac:dyDescent="0.2">
      <c r="AF303" s="1"/>
    </row>
    <row r="304" spans="32:32" ht="15.75" customHeight="1" x14ac:dyDescent="0.2">
      <c r="AF304" s="1"/>
    </row>
    <row r="305" spans="32:32" ht="15.75" customHeight="1" x14ac:dyDescent="0.2">
      <c r="AF305" s="1"/>
    </row>
    <row r="306" spans="32:32" ht="15.75" customHeight="1" x14ac:dyDescent="0.2">
      <c r="AF306" s="1"/>
    </row>
    <row r="307" spans="32:32" ht="15.75" customHeight="1" x14ac:dyDescent="0.2">
      <c r="AF307" s="1"/>
    </row>
    <row r="308" spans="32:32" ht="15.75" customHeight="1" x14ac:dyDescent="0.2">
      <c r="AF308" s="1"/>
    </row>
    <row r="309" spans="32:32" ht="15.75" customHeight="1" x14ac:dyDescent="0.2">
      <c r="AF309" s="1"/>
    </row>
    <row r="310" spans="32:32" ht="15.75" customHeight="1" x14ac:dyDescent="0.2">
      <c r="AF310" s="1"/>
    </row>
    <row r="311" spans="32:32" ht="15.75" customHeight="1" x14ac:dyDescent="0.2">
      <c r="AF311" s="1"/>
    </row>
    <row r="312" spans="32:32" ht="15.75" customHeight="1" x14ac:dyDescent="0.2">
      <c r="AF312" s="1"/>
    </row>
    <row r="313" spans="32:32" ht="15.75" customHeight="1" x14ac:dyDescent="0.2">
      <c r="AF313" s="1"/>
    </row>
    <row r="314" spans="32:32" ht="15.75" customHeight="1" x14ac:dyDescent="0.2">
      <c r="AF314" s="1"/>
    </row>
    <row r="315" spans="32:32" ht="15.75" customHeight="1" x14ac:dyDescent="0.2">
      <c r="AF315" s="1"/>
    </row>
    <row r="316" spans="32:32" ht="15.75" customHeight="1" x14ac:dyDescent="0.2">
      <c r="AF316" s="1"/>
    </row>
    <row r="317" spans="32:32" ht="15.75" customHeight="1" x14ac:dyDescent="0.2">
      <c r="AF317" s="1"/>
    </row>
    <row r="318" spans="32:32" ht="15.75" customHeight="1" x14ac:dyDescent="0.2">
      <c r="AF318" s="1"/>
    </row>
    <row r="319" spans="32:32" ht="15.75" customHeight="1" x14ac:dyDescent="0.2">
      <c r="AF319" s="1"/>
    </row>
    <row r="320" spans="32:32" ht="15.75" customHeight="1" x14ac:dyDescent="0.2">
      <c r="AF320" s="1"/>
    </row>
    <row r="321" spans="32:32" ht="15.75" customHeight="1" x14ac:dyDescent="0.2">
      <c r="AF321" s="1"/>
    </row>
    <row r="322" spans="32:32" ht="15.75" customHeight="1" x14ac:dyDescent="0.2">
      <c r="AF322" s="1"/>
    </row>
    <row r="323" spans="32:32" ht="15.75" customHeight="1" x14ac:dyDescent="0.2">
      <c r="AF323" s="1"/>
    </row>
    <row r="324" spans="32:32" ht="15.75" customHeight="1" x14ac:dyDescent="0.2">
      <c r="AF324" s="1"/>
    </row>
    <row r="325" spans="32:32" ht="15.75" customHeight="1" x14ac:dyDescent="0.2">
      <c r="AF325" s="1"/>
    </row>
    <row r="326" spans="32:32" ht="15.75" customHeight="1" x14ac:dyDescent="0.2">
      <c r="AF326" s="1"/>
    </row>
    <row r="327" spans="32:32" ht="15.75" customHeight="1" x14ac:dyDescent="0.2">
      <c r="AF327" s="1"/>
    </row>
    <row r="328" spans="32:32" ht="15.75" customHeight="1" x14ac:dyDescent="0.2">
      <c r="AF328" s="1"/>
    </row>
    <row r="329" spans="32:32" ht="15.75" customHeight="1" x14ac:dyDescent="0.2">
      <c r="AF329" s="1"/>
    </row>
    <row r="330" spans="32:32" ht="15.75" customHeight="1" x14ac:dyDescent="0.2">
      <c r="AF330" s="1"/>
    </row>
    <row r="331" spans="32:32" ht="15.75" customHeight="1" x14ac:dyDescent="0.2">
      <c r="AF331" s="1"/>
    </row>
    <row r="332" spans="32:32" ht="15.75" customHeight="1" x14ac:dyDescent="0.2">
      <c r="AF332" s="1"/>
    </row>
    <row r="333" spans="32:32" ht="15.75" customHeight="1" x14ac:dyDescent="0.2">
      <c r="AF333" s="1"/>
    </row>
    <row r="334" spans="32:32" ht="15.75" customHeight="1" x14ac:dyDescent="0.2">
      <c r="AF334" s="1"/>
    </row>
    <row r="335" spans="32:32" ht="15.75" customHeight="1" x14ac:dyDescent="0.2">
      <c r="AF335" s="1"/>
    </row>
    <row r="336" spans="32:32" ht="15.75" customHeight="1" x14ac:dyDescent="0.2">
      <c r="AF336" s="1"/>
    </row>
    <row r="337" spans="32:32" ht="15.75" customHeight="1" x14ac:dyDescent="0.2">
      <c r="AF337" s="1"/>
    </row>
    <row r="338" spans="32:32" ht="15.75" customHeight="1" x14ac:dyDescent="0.2">
      <c r="AF338" s="1"/>
    </row>
    <row r="339" spans="32:32" ht="15.75" customHeight="1" x14ac:dyDescent="0.2">
      <c r="AF339" s="1"/>
    </row>
    <row r="340" spans="32:32" ht="15.75" customHeight="1" x14ac:dyDescent="0.2">
      <c r="AF340" s="1"/>
    </row>
    <row r="341" spans="32:32" ht="15.75" customHeight="1" x14ac:dyDescent="0.2">
      <c r="AF341" s="1"/>
    </row>
    <row r="342" spans="32:32" ht="15.75" customHeight="1" x14ac:dyDescent="0.2">
      <c r="AF342" s="1"/>
    </row>
    <row r="343" spans="32:32" ht="15.75" customHeight="1" x14ac:dyDescent="0.2">
      <c r="AF343" s="1"/>
    </row>
    <row r="344" spans="32:32" ht="15.75" customHeight="1" x14ac:dyDescent="0.2">
      <c r="AF344" s="1"/>
    </row>
    <row r="345" spans="32:32" ht="15.75" customHeight="1" x14ac:dyDescent="0.2">
      <c r="AF345" s="1"/>
    </row>
    <row r="346" spans="32:32" ht="15.75" customHeight="1" x14ac:dyDescent="0.2">
      <c r="AF346" s="1"/>
    </row>
    <row r="347" spans="32:32" ht="15.75" customHeight="1" x14ac:dyDescent="0.2">
      <c r="AF347" s="1"/>
    </row>
    <row r="348" spans="32:32" ht="15.75" customHeight="1" x14ac:dyDescent="0.2">
      <c r="AF348" s="1"/>
    </row>
    <row r="349" spans="32:32" ht="15.75" customHeight="1" x14ac:dyDescent="0.2">
      <c r="AF349" s="1"/>
    </row>
    <row r="350" spans="32:32" ht="15.75" customHeight="1" x14ac:dyDescent="0.2">
      <c r="AF350" s="1"/>
    </row>
    <row r="351" spans="32:32" ht="15.75" customHeight="1" x14ac:dyDescent="0.2">
      <c r="AF351" s="1"/>
    </row>
    <row r="352" spans="32:32" ht="15.75" customHeight="1" x14ac:dyDescent="0.2">
      <c r="AF352" s="1"/>
    </row>
    <row r="353" spans="32:32" ht="15.75" customHeight="1" x14ac:dyDescent="0.2">
      <c r="AF353" s="1"/>
    </row>
    <row r="354" spans="32:32" ht="15.75" customHeight="1" x14ac:dyDescent="0.2">
      <c r="AF354" s="1"/>
    </row>
    <row r="355" spans="32:32" ht="15.75" customHeight="1" x14ac:dyDescent="0.2">
      <c r="AF355" s="1"/>
    </row>
    <row r="356" spans="32:32" ht="15.75" customHeight="1" x14ac:dyDescent="0.2">
      <c r="AF356" s="1"/>
    </row>
    <row r="357" spans="32:32" ht="15.75" customHeight="1" x14ac:dyDescent="0.2">
      <c r="AF357" s="1"/>
    </row>
    <row r="358" spans="32:32" ht="15.75" customHeight="1" x14ac:dyDescent="0.2">
      <c r="AF358" s="1"/>
    </row>
    <row r="359" spans="32:32" ht="15.75" customHeight="1" x14ac:dyDescent="0.2">
      <c r="AF359" s="1"/>
    </row>
    <row r="360" spans="32:32" ht="15.75" customHeight="1" x14ac:dyDescent="0.2">
      <c r="AF360" s="1"/>
    </row>
    <row r="361" spans="32:32" ht="15.75" customHeight="1" x14ac:dyDescent="0.2">
      <c r="AF361" s="1"/>
    </row>
    <row r="362" spans="32:32" ht="15.75" customHeight="1" x14ac:dyDescent="0.2">
      <c r="AF362" s="1"/>
    </row>
    <row r="363" spans="32:32" ht="15.75" customHeight="1" x14ac:dyDescent="0.2">
      <c r="AF363" s="1"/>
    </row>
    <row r="364" spans="32:32" ht="15.75" customHeight="1" x14ac:dyDescent="0.2">
      <c r="AF364" s="1"/>
    </row>
    <row r="365" spans="32:32" ht="15.75" customHeight="1" x14ac:dyDescent="0.2">
      <c r="AF365" s="1"/>
    </row>
    <row r="366" spans="32:32" ht="15.75" customHeight="1" x14ac:dyDescent="0.2">
      <c r="AF366" s="1"/>
    </row>
    <row r="367" spans="32:32" ht="15.75" customHeight="1" x14ac:dyDescent="0.2">
      <c r="AF367" s="1"/>
    </row>
    <row r="368" spans="32:32" ht="15.75" customHeight="1" x14ac:dyDescent="0.2">
      <c r="AF368" s="1"/>
    </row>
    <row r="369" spans="32:32" ht="15.75" customHeight="1" x14ac:dyDescent="0.2">
      <c r="AF369" s="1"/>
    </row>
    <row r="370" spans="32:32" ht="15.75" customHeight="1" x14ac:dyDescent="0.2">
      <c r="AF370" s="1"/>
    </row>
    <row r="371" spans="32:32" ht="15.75" customHeight="1" x14ac:dyDescent="0.2">
      <c r="AF371" s="1"/>
    </row>
    <row r="372" spans="32:32" ht="15.75" customHeight="1" x14ac:dyDescent="0.2">
      <c r="AF372" s="1"/>
    </row>
    <row r="373" spans="32:32" ht="15.75" customHeight="1" x14ac:dyDescent="0.2">
      <c r="AF373" s="1"/>
    </row>
    <row r="374" spans="32:32" ht="15.75" customHeight="1" x14ac:dyDescent="0.2">
      <c r="AF374" s="1"/>
    </row>
    <row r="375" spans="32:32" ht="15.75" customHeight="1" x14ac:dyDescent="0.2">
      <c r="AF375" s="1"/>
    </row>
    <row r="376" spans="32:32" ht="15.75" customHeight="1" x14ac:dyDescent="0.2">
      <c r="AF376" s="1"/>
    </row>
    <row r="377" spans="32:32" ht="15.75" customHeight="1" x14ac:dyDescent="0.2">
      <c r="AF377" s="1"/>
    </row>
    <row r="378" spans="32:32" ht="15.75" customHeight="1" x14ac:dyDescent="0.2">
      <c r="AF378" s="1"/>
    </row>
    <row r="379" spans="32:32" ht="15.75" customHeight="1" x14ac:dyDescent="0.2">
      <c r="AF379" s="1"/>
    </row>
    <row r="380" spans="32:32" ht="15.75" customHeight="1" x14ac:dyDescent="0.2">
      <c r="AF380" s="1"/>
    </row>
    <row r="381" spans="32:32" ht="15.75" customHeight="1" x14ac:dyDescent="0.2">
      <c r="AF381" s="1"/>
    </row>
    <row r="382" spans="32:32" ht="15.75" customHeight="1" x14ac:dyDescent="0.2">
      <c r="AF382" s="1"/>
    </row>
    <row r="383" spans="32:32" ht="15.75" customHeight="1" x14ac:dyDescent="0.2">
      <c r="AF383" s="1"/>
    </row>
    <row r="384" spans="32:32" ht="15.75" customHeight="1" x14ac:dyDescent="0.2">
      <c r="AF384" s="1"/>
    </row>
    <row r="385" spans="32:32" ht="15.75" customHeight="1" x14ac:dyDescent="0.2">
      <c r="AF385" s="1"/>
    </row>
    <row r="386" spans="32:32" ht="15.75" customHeight="1" x14ac:dyDescent="0.2">
      <c r="AF386" s="1"/>
    </row>
    <row r="387" spans="32:32" ht="15.75" customHeight="1" x14ac:dyDescent="0.2">
      <c r="AF387" s="1"/>
    </row>
    <row r="388" spans="32:32" ht="15.75" customHeight="1" x14ac:dyDescent="0.2">
      <c r="AF388" s="1"/>
    </row>
    <row r="389" spans="32:32" ht="15.75" customHeight="1" x14ac:dyDescent="0.2">
      <c r="AF389" s="1"/>
    </row>
    <row r="390" spans="32:32" ht="15.75" customHeight="1" x14ac:dyDescent="0.2">
      <c r="AF390" s="1"/>
    </row>
    <row r="391" spans="32:32" ht="15.75" customHeight="1" x14ac:dyDescent="0.2">
      <c r="AF391" s="1"/>
    </row>
    <row r="392" spans="32:32" ht="15.75" customHeight="1" x14ac:dyDescent="0.2">
      <c r="AF392" s="1"/>
    </row>
    <row r="393" spans="32:32" ht="15.75" customHeight="1" x14ac:dyDescent="0.2">
      <c r="AF393" s="1"/>
    </row>
    <row r="394" spans="32:32" ht="15.75" customHeight="1" x14ac:dyDescent="0.2">
      <c r="AF394" s="1"/>
    </row>
    <row r="395" spans="32:32" ht="15.75" customHeight="1" x14ac:dyDescent="0.2">
      <c r="AF395" s="1"/>
    </row>
    <row r="396" spans="32:32" ht="15.75" customHeight="1" x14ac:dyDescent="0.2">
      <c r="AF396" s="1"/>
    </row>
    <row r="397" spans="32:32" ht="15.75" customHeight="1" x14ac:dyDescent="0.2">
      <c r="AF397" s="1"/>
    </row>
    <row r="398" spans="32:32" ht="15.75" customHeight="1" x14ac:dyDescent="0.2">
      <c r="AF398" s="1"/>
    </row>
    <row r="399" spans="32:32" ht="15.75" customHeight="1" x14ac:dyDescent="0.2">
      <c r="AF399" s="1"/>
    </row>
    <row r="400" spans="32:32" ht="15.75" customHeight="1" x14ac:dyDescent="0.2">
      <c r="AF400" s="1"/>
    </row>
    <row r="401" spans="32:32" ht="15.75" customHeight="1" x14ac:dyDescent="0.2">
      <c r="AF401" s="1"/>
    </row>
    <row r="402" spans="32:32" ht="15.75" customHeight="1" x14ac:dyDescent="0.2">
      <c r="AF402" s="1"/>
    </row>
    <row r="403" spans="32:32" ht="15.75" customHeight="1" x14ac:dyDescent="0.2">
      <c r="AF403" s="1"/>
    </row>
    <row r="404" spans="32:32" ht="15.75" customHeight="1" x14ac:dyDescent="0.2">
      <c r="AF404" s="1"/>
    </row>
    <row r="405" spans="32:32" ht="15.75" customHeight="1" x14ac:dyDescent="0.2">
      <c r="AF405" s="1"/>
    </row>
    <row r="406" spans="32:32" ht="15.75" customHeight="1" x14ac:dyDescent="0.2">
      <c r="AF406" s="1"/>
    </row>
    <row r="407" spans="32:32" ht="15.75" customHeight="1" x14ac:dyDescent="0.2">
      <c r="AF407" s="1"/>
    </row>
    <row r="408" spans="32:32" ht="15.75" customHeight="1" x14ac:dyDescent="0.2">
      <c r="AF408" s="1"/>
    </row>
    <row r="409" spans="32:32" ht="15.75" customHeight="1" x14ac:dyDescent="0.2">
      <c r="AF409" s="1"/>
    </row>
    <row r="410" spans="32:32" ht="15.75" customHeight="1" x14ac:dyDescent="0.2">
      <c r="AF410" s="1"/>
    </row>
    <row r="411" spans="32:32" ht="15.75" customHeight="1" x14ac:dyDescent="0.2">
      <c r="AF411" s="1"/>
    </row>
    <row r="412" spans="32:32" ht="15.75" customHeight="1" x14ac:dyDescent="0.2">
      <c r="AF412" s="1"/>
    </row>
    <row r="413" spans="32:32" ht="15.75" customHeight="1" x14ac:dyDescent="0.2">
      <c r="AF413" s="1"/>
    </row>
    <row r="414" spans="32:32" ht="15.75" customHeight="1" x14ac:dyDescent="0.2">
      <c r="AF414" s="1"/>
    </row>
    <row r="415" spans="32:32" ht="15.75" customHeight="1" x14ac:dyDescent="0.2">
      <c r="AF415" s="1"/>
    </row>
    <row r="416" spans="32:32" ht="15.75" customHeight="1" x14ac:dyDescent="0.2">
      <c r="AF416" s="1"/>
    </row>
    <row r="417" spans="32:32" ht="15.75" customHeight="1" x14ac:dyDescent="0.2">
      <c r="AF417" s="1"/>
    </row>
    <row r="418" spans="32:32" ht="15.75" customHeight="1" x14ac:dyDescent="0.2">
      <c r="AF418" s="1"/>
    </row>
    <row r="419" spans="32:32" ht="15.75" customHeight="1" x14ac:dyDescent="0.2">
      <c r="AF419" s="1"/>
    </row>
    <row r="420" spans="32:32" ht="15.75" customHeight="1" x14ac:dyDescent="0.2">
      <c r="AF420" s="1"/>
    </row>
    <row r="421" spans="32:32" ht="15.75" customHeight="1" x14ac:dyDescent="0.2">
      <c r="AF421" s="1"/>
    </row>
    <row r="422" spans="32:32" ht="15.75" customHeight="1" x14ac:dyDescent="0.2">
      <c r="AF422" s="1"/>
    </row>
    <row r="423" spans="32:32" ht="15.75" customHeight="1" x14ac:dyDescent="0.2">
      <c r="AF423" s="1"/>
    </row>
    <row r="424" spans="32:32" ht="15.75" customHeight="1" x14ac:dyDescent="0.2">
      <c r="AF424" s="1"/>
    </row>
    <row r="425" spans="32:32" ht="15.75" customHeight="1" x14ac:dyDescent="0.2">
      <c r="AF425" s="1"/>
    </row>
    <row r="426" spans="32:32" ht="15.75" customHeight="1" x14ac:dyDescent="0.2">
      <c r="AF426" s="1"/>
    </row>
    <row r="427" spans="32:32" ht="15.75" customHeight="1" x14ac:dyDescent="0.2">
      <c r="AF427" s="1"/>
    </row>
    <row r="428" spans="32:32" ht="15.75" customHeight="1" x14ac:dyDescent="0.2">
      <c r="AF428" s="1"/>
    </row>
    <row r="429" spans="32:32" ht="15.75" customHeight="1" x14ac:dyDescent="0.2">
      <c r="AF429" s="1"/>
    </row>
    <row r="430" spans="32:32" ht="15.75" customHeight="1" x14ac:dyDescent="0.2">
      <c r="AF430" s="1"/>
    </row>
    <row r="431" spans="32:32" ht="15.75" customHeight="1" x14ac:dyDescent="0.2">
      <c r="AF431" s="1"/>
    </row>
    <row r="432" spans="32:32" ht="15.75" customHeight="1" x14ac:dyDescent="0.2">
      <c r="AF432" s="1"/>
    </row>
    <row r="433" spans="32:32" ht="15.75" customHeight="1" x14ac:dyDescent="0.2">
      <c r="AF433" s="1"/>
    </row>
    <row r="434" spans="32:32" ht="15.75" customHeight="1" x14ac:dyDescent="0.2">
      <c r="AF434" s="1"/>
    </row>
    <row r="435" spans="32:32" ht="15.75" customHeight="1" x14ac:dyDescent="0.2">
      <c r="AF435" s="1"/>
    </row>
    <row r="436" spans="32:32" ht="15.75" customHeight="1" x14ac:dyDescent="0.2">
      <c r="AF436" s="1"/>
    </row>
    <row r="437" spans="32:32" ht="15.75" customHeight="1" x14ac:dyDescent="0.2">
      <c r="AF437" s="1"/>
    </row>
    <row r="438" spans="32:32" ht="15.75" customHeight="1" x14ac:dyDescent="0.2">
      <c r="AF438" s="1"/>
    </row>
    <row r="439" spans="32:32" ht="15.75" customHeight="1" x14ac:dyDescent="0.2">
      <c r="AF439" s="1"/>
    </row>
    <row r="440" spans="32:32" ht="15.75" customHeight="1" x14ac:dyDescent="0.2">
      <c r="AF440" s="1"/>
    </row>
    <row r="441" spans="32:32" ht="15.75" customHeight="1" x14ac:dyDescent="0.2">
      <c r="AF441" s="1"/>
    </row>
    <row r="442" spans="32:32" ht="15.75" customHeight="1" x14ac:dyDescent="0.2">
      <c r="AF442" s="1"/>
    </row>
    <row r="443" spans="32:32" ht="15.75" customHeight="1" x14ac:dyDescent="0.2">
      <c r="AF443" s="1"/>
    </row>
    <row r="444" spans="32:32" ht="15.75" customHeight="1" x14ac:dyDescent="0.2">
      <c r="AF444" s="1"/>
    </row>
    <row r="445" spans="32:32" ht="15.75" customHeight="1" x14ac:dyDescent="0.2">
      <c r="AF445" s="1"/>
    </row>
    <row r="446" spans="32:32" ht="15.75" customHeight="1" x14ac:dyDescent="0.2">
      <c r="AF446" s="1"/>
    </row>
    <row r="447" spans="32:32" ht="15.75" customHeight="1" x14ac:dyDescent="0.2">
      <c r="AF447" s="1"/>
    </row>
    <row r="448" spans="32:32" ht="15.75" customHeight="1" x14ac:dyDescent="0.2">
      <c r="AF448" s="1"/>
    </row>
    <row r="449" spans="32:32" ht="15.75" customHeight="1" x14ac:dyDescent="0.2">
      <c r="AF449" s="1"/>
    </row>
    <row r="450" spans="32:32" ht="15.75" customHeight="1" x14ac:dyDescent="0.2">
      <c r="AF450" s="1"/>
    </row>
    <row r="451" spans="32:32" ht="15.75" customHeight="1" x14ac:dyDescent="0.2">
      <c r="AF451" s="1"/>
    </row>
    <row r="452" spans="32:32" ht="15.75" customHeight="1" x14ac:dyDescent="0.2">
      <c r="AF452" s="1"/>
    </row>
    <row r="453" spans="32:32" ht="15.75" customHeight="1" x14ac:dyDescent="0.2">
      <c r="AF453" s="1"/>
    </row>
    <row r="454" spans="32:32" ht="15.75" customHeight="1" x14ac:dyDescent="0.2">
      <c r="AF454" s="1"/>
    </row>
    <row r="455" spans="32:32" ht="15.75" customHeight="1" x14ac:dyDescent="0.2">
      <c r="AF455" s="1"/>
    </row>
    <row r="456" spans="32:32" ht="15.75" customHeight="1" x14ac:dyDescent="0.2">
      <c r="AF456" s="1"/>
    </row>
    <row r="457" spans="32:32" ht="15.75" customHeight="1" x14ac:dyDescent="0.2">
      <c r="AF457" s="1"/>
    </row>
    <row r="458" spans="32:32" ht="15.75" customHeight="1" x14ac:dyDescent="0.2">
      <c r="AF458" s="1"/>
    </row>
    <row r="459" spans="32:32" ht="15.75" customHeight="1" x14ac:dyDescent="0.2">
      <c r="AF459" s="1"/>
    </row>
    <row r="460" spans="32:32" ht="15.75" customHeight="1" x14ac:dyDescent="0.2">
      <c r="AF460" s="1"/>
    </row>
    <row r="461" spans="32:32" ht="15.75" customHeight="1" x14ac:dyDescent="0.2">
      <c r="AF461" s="1"/>
    </row>
    <row r="462" spans="32:32" ht="15.75" customHeight="1" x14ac:dyDescent="0.2">
      <c r="AF462" s="1"/>
    </row>
    <row r="463" spans="32:32" ht="15.75" customHeight="1" x14ac:dyDescent="0.2">
      <c r="AF463" s="1"/>
    </row>
    <row r="464" spans="32:32" ht="15.75" customHeight="1" x14ac:dyDescent="0.2">
      <c r="AF464" s="1"/>
    </row>
    <row r="465" spans="32:32" ht="15.75" customHeight="1" x14ac:dyDescent="0.2">
      <c r="AF465" s="1"/>
    </row>
    <row r="466" spans="32:32" ht="15.75" customHeight="1" x14ac:dyDescent="0.2">
      <c r="AF466" s="1"/>
    </row>
    <row r="467" spans="32:32" ht="15.75" customHeight="1" x14ac:dyDescent="0.2">
      <c r="AF467" s="1"/>
    </row>
    <row r="468" spans="32:32" ht="15.75" customHeight="1" x14ac:dyDescent="0.2">
      <c r="AF468" s="1"/>
    </row>
    <row r="469" spans="32:32" ht="15.75" customHeight="1" x14ac:dyDescent="0.2">
      <c r="AF469" s="1"/>
    </row>
    <row r="470" spans="32:32" ht="15.75" customHeight="1" x14ac:dyDescent="0.2">
      <c r="AF470" s="1"/>
    </row>
    <row r="471" spans="32:32" ht="15.75" customHeight="1" x14ac:dyDescent="0.2">
      <c r="AF471" s="1"/>
    </row>
    <row r="472" spans="32:32" ht="15.75" customHeight="1" x14ac:dyDescent="0.2">
      <c r="AF472" s="1"/>
    </row>
    <row r="473" spans="32:32" ht="15.75" customHeight="1" x14ac:dyDescent="0.2">
      <c r="AF473" s="1"/>
    </row>
    <row r="474" spans="32:32" ht="15.75" customHeight="1" x14ac:dyDescent="0.2">
      <c r="AF474" s="1"/>
    </row>
    <row r="475" spans="32:32" ht="15.75" customHeight="1" x14ac:dyDescent="0.2">
      <c r="AF475" s="1"/>
    </row>
    <row r="476" spans="32:32" ht="15.75" customHeight="1" x14ac:dyDescent="0.2">
      <c r="AF476" s="1"/>
    </row>
    <row r="477" spans="32:32" ht="15.75" customHeight="1" x14ac:dyDescent="0.2">
      <c r="AF477" s="1"/>
    </row>
    <row r="478" spans="32:32" ht="15.75" customHeight="1" x14ac:dyDescent="0.2">
      <c r="AF478" s="1"/>
    </row>
    <row r="479" spans="32:32" ht="15.75" customHeight="1" x14ac:dyDescent="0.2">
      <c r="AF479" s="1"/>
    </row>
    <row r="480" spans="32:32" ht="15.75" customHeight="1" x14ac:dyDescent="0.2">
      <c r="AF480" s="1"/>
    </row>
    <row r="481" spans="32:32" ht="15.75" customHeight="1" x14ac:dyDescent="0.2">
      <c r="AF481" s="1"/>
    </row>
    <row r="482" spans="32:32" ht="15.75" customHeight="1" x14ac:dyDescent="0.2">
      <c r="AF482" s="1"/>
    </row>
    <row r="483" spans="32:32" ht="15.75" customHeight="1" x14ac:dyDescent="0.2">
      <c r="AF483" s="1"/>
    </row>
    <row r="484" spans="32:32" ht="15.75" customHeight="1" x14ac:dyDescent="0.2">
      <c r="AF484" s="1"/>
    </row>
    <row r="485" spans="32:32" ht="15.75" customHeight="1" x14ac:dyDescent="0.2">
      <c r="AF485" s="1"/>
    </row>
    <row r="486" spans="32:32" ht="15.75" customHeight="1" x14ac:dyDescent="0.2">
      <c r="AF486" s="1"/>
    </row>
    <row r="487" spans="32:32" ht="15.75" customHeight="1" x14ac:dyDescent="0.2">
      <c r="AF487" s="1"/>
    </row>
    <row r="488" spans="32:32" ht="15.75" customHeight="1" x14ac:dyDescent="0.2">
      <c r="AF488" s="1"/>
    </row>
    <row r="489" spans="32:32" ht="15.75" customHeight="1" x14ac:dyDescent="0.2">
      <c r="AF489" s="1"/>
    </row>
    <row r="490" spans="32:32" ht="15.75" customHeight="1" x14ac:dyDescent="0.2">
      <c r="AF490" s="1"/>
    </row>
    <row r="491" spans="32:32" ht="15.75" customHeight="1" x14ac:dyDescent="0.2">
      <c r="AF491" s="1"/>
    </row>
    <row r="492" spans="32:32" ht="15.75" customHeight="1" x14ac:dyDescent="0.2">
      <c r="AF492" s="1"/>
    </row>
    <row r="493" spans="32:32" ht="15.75" customHeight="1" x14ac:dyDescent="0.2">
      <c r="AF493" s="1"/>
    </row>
    <row r="494" spans="32:32" ht="15.75" customHeight="1" x14ac:dyDescent="0.2">
      <c r="AF494" s="1"/>
    </row>
    <row r="495" spans="32:32" ht="15.75" customHeight="1" x14ac:dyDescent="0.2">
      <c r="AF495" s="1"/>
    </row>
    <row r="496" spans="32:32" ht="15.75" customHeight="1" x14ac:dyDescent="0.2">
      <c r="AF496" s="1"/>
    </row>
    <row r="497" spans="32:32" ht="15.75" customHeight="1" x14ac:dyDescent="0.2">
      <c r="AF497" s="1"/>
    </row>
    <row r="498" spans="32:32" ht="15.75" customHeight="1" x14ac:dyDescent="0.2">
      <c r="AF498" s="1"/>
    </row>
    <row r="499" spans="32:32" ht="15.75" customHeight="1" x14ac:dyDescent="0.2">
      <c r="AF499" s="1"/>
    </row>
    <row r="500" spans="32:32" ht="15.75" customHeight="1" x14ac:dyDescent="0.2">
      <c r="AF500" s="1"/>
    </row>
    <row r="501" spans="32:32" ht="15.75" customHeight="1" x14ac:dyDescent="0.2">
      <c r="AF501" s="1"/>
    </row>
    <row r="502" spans="32:32" ht="15.75" customHeight="1" x14ac:dyDescent="0.2">
      <c r="AF502" s="1"/>
    </row>
    <row r="503" spans="32:32" ht="15.75" customHeight="1" x14ac:dyDescent="0.2">
      <c r="AF503" s="1"/>
    </row>
    <row r="504" spans="32:32" ht="15.75" customHeight="1" x14ac:dyDescent="0.2">
      <c r="AF504" s="1"/>
    </row>
    <row r="505" spans="32:32" ht="15.75" customHeight="1" x14ac:dyDescent="0.2">
      <c r="AF505" s="1"/>
    </row>
    <row r="506" spans="32:32" ht="15.75" customHeight="1" x14ac:dyDescent="0.2">
      <c r="AF506" s="1"/>
    </row>
    <row r="507" spans="32:32" ht="15.75" customHeight="1" x14ac:dyDescent="0.2">
      <c r="AF507" s="1"/>
    </row>
    <row r="508" spans="32:32" ht="15.75" customHeight="1" x14ac:dyDescent="0.2">
      <c r="AF508" s="1"/>
    </row>
    <row r="509" spans="32:32" ht="15.75" customHeight="1" x14ac:dyDescent="0.2">
      <c r="AF509" s="1"/>
    </row>
    <row r="510" spans="32:32" ht="15.75" customHeight="1" x14ac:dyDescent="0.2">
      <c r="AF510" s="1"/>
    </row>
    <row r="511" spans="32:32" ht="15.75" customHeight="1" x14ac:dyDescent="0.2">
      <c r="AF511" s="1"/>
    </row>
    <row r="512" spans="32:32" ht="15.75" customHeight="1" x14ac:dyDescent="0.2">
      <c r="AF512" s="1"/>
    </row>
    <row r="513" spans="32:32" ht="15.75" customHeight="1" x14ac:dyDescent="0.2">
      <c r="AF513" s="1"/>
    </row>
    <row r="514" spans="32:32" ht="15.75" customHeight="1" x14ac:dyDescent="0.2">
      <c r="AF514" s="1"/>
    </row>
    <row r="515" spans="32:32" ht="15.75" customHeight="1" x14ac:dyDescent="0.2">
      <c r="AF515" s="1"/>
    </row>
    <row r="516" spans="32:32" ht="15.75" customHeight="1" x14ac:dyDescent="0.2">
      <c r="AF516" s="1"/>
    </row>
    <row r="517" spans="32:32" ht="15.75" customHeight="1" x14ac:dyDescent="0.2">
      <c r="AF517" s="1"/>
    </row>
    <row r="518" spans="32:32" ht="15.75" customHeight="1" x14ac:dyDescent="0.2">
      <c r="AF518" s="1"/>
    </row>
    <row r="519" spans="32:32" ht="15.75" customHeight="1" x14ac:dyDescent="0.2">
      <c r="AF519" s="1"/>
    </row>
    <row r="520" spans="32:32" ht="15.75" customHeight="1" x14ac:dyDescent="0.2">
      <c r="AF520" s="1"/>
    </row>
    <row r="521" spans="32:32" ht="15.75" customHeight="1" x14ac:dyDescent="0.2">
      <c r="AF521" s="1"/>
    </row>
    <row r="522" spans="32:32" ht="15.75" customHeight="1" x14ac:dyDescent="0.2">
      <c r="AF522" s="1"/>
    </row>
    <row r="523" spans="32:32" ht="15.75" customHeight="1" x14ac:dyDescent="0.2">
      <c r="AF523" s="1"/>
    </row>
    <row r="524" spans="32:32" ht="15.75" customHeight="1" x14ac:dyDescent="0.2">
      <c r="AF524" s="1"/>
    </row>
    <row r="525" spans="32:32" ht="15.75" customHeight="1" x14ac:dyDescent="0.2">
      <c r="AF525" s="1"/>
    </row>
    <row r="526" spans="32:32" ht="15.75" customHeight="1" x14ac:dyDescent="0.2">
      <c r="AF526" s="1"/>
    </row>
    <row r="527" spans="32:32" ht="15.75" customHeight="1" x14ac:dyDescent="0.2">
      <c r="AF527" s="1"/>
    </row>
    <row r="528" spans="32:32" ht="15.75" customHeight="1" x14ac:dyDescent="0.2">
      <c r="AF528" s="1"/>
    </row>
    <row r="529" spans="32:32" ht="15.75" customHeight="1" x14ac:dyDescent="0.2">
      <c r="AF529" s="1"/>
    </row>
    <row r="530" spans="32:32" ht="15.75" customHeight="1" x14ac:dyDescent="0.2">
      <c r="AF530" s="1"/>
    </row>
    <row r="531" spans="32:32" ht="15.75" customHeight="1" x14ac:dyDescent="0.2">
      <c r="AF531" s="1"/>
    </row>
    <row r="532" spans="32:32" ht="15.75" customHeight="1" x14ac:dyDescent="0.2">
      <c r="AF532" s="1"/>
    </row>
    <row r="533" spans="32:32" ht="15.75" customHeight="1" x14ac:dyDescent="0.2">
      <c r="AF533" s="1"/>
    </row>
    <row r="534" spans="32:32" ht="15.75" customHeight="1" x14ac:dyDescent="0.2">
      <c r="AF534" s="1"/>
    </row>
    <row r="535" spans="32:32" ht="15.75" customHeight="1" x14ac:dyDescent="0.2">
      <c r="AF535" s="1"/>
    </row>
    <row r="536" spans="32:32" ht="15.75" customHeight="1" x14ac:dyDescent="0.2">
      <c r="AF536" s="1"/>
    </row>
    <row r="537" spans="32:32" ht="15.75" customHeight="1" x14ac:dyDescent="0.2">
      <c r="AF537" s="1"/>
    </row>
    <row r="538" spans="32:32" ht="15.75" customHeight="1" x14ac:dyDescent="0.2">
      <c r="AF538" s="1"/>
    </row>
    <row r="539" spans="32:32" ht="15.75" customHeight="1" x14ac:dyDescent="0.2">
      <c r="AF539" s="1"/>
    </row>
    <row r="540" spans="32:32" ht="15.75" customHeight="1" x14ac:dyDescent="0.2">
      <c r="AF540" s="1"/>
    </row>
    <row r="541" spans="32:32" ht="15.75" customHeight="1" x14ac:dyDescent="0.2">
      <c r="AF541" s="1"/>
    </row>
    <row r="542" spans="32:32" ht="15.75" customHeight="1" x14ac:dyDescent="0.2">
      <c r="AF542" s="1"/>
    </row>
    <row r="543" spans="32:32" ht="15.75" customHeight="1" x14ac:dyDescent="0.2">
      <c r="AF543" s="1"/>
    </row>
    <row r="544" spans="32:32" ht="15.75" customHeight="1" x14ac:dyDescent="0.2">
      <c r="AF544" s="1"/>
    </row>
    <row r="545" spans="32:32" ht="15.75" customHeight="1" x14ac:dyDescent="0.2">
      <c r="AF545" s="1"/>
    </row>
    <row r="546" spans="32:32" ht="15.75" customHeight="1" x14ac:dyDescent="0.2">
      <c r="AF546" s="1"/>
    </row>
    <row r="547" spans="32:32" ht="15.75" customHeight="1" x14ac:dyDescent="0.2">
      <c r="AF547" s="1"/>
    </row>
    <row r="548" spans="32:32" ht="15.75" customHeight="1" x14ac:dyDescent="0.2">
      <c r="AF548" s="1"/>
    </row>
    <row r="549" spans="32:32" ht="15.75" customHeight="1" x14ac:dyDescent="0.2">
      <c r="AF549" s="1"/>
    </row>
    <row r="550" spans="32:32" ht="15.75" customHeight="1" x14ac:dyDescent="0.2">
      <c r="AF550" s="1"/>
    </row>
    <row r="551" spans="32:32" ht="15.75" customHeight="1" x14ac:dyDescent="0.2">
      <c r="AF551" s="1"/>
    </row>
    <row r="552" spans="32:32" ht="15.75" customHeight="1" x14ac:dyDescent="0.2">
      <c r="AF552" s="1"/>
    </row>
    <row r="553" spans="32:32" ht="15.75" customHeight="1" x14ac:dyDescent="0.2">
      <c r="AF553" s="1"/>
    </row>
    <row r="554" spans="32:32" ht="15.75" customHeight="1" x14ac:dyDescent="0.2">
      <c r="AF554" s="1"/>
    </row>
    <row r="555" spans="32:32" ht="15.75" customHeight="1" x14ac:dyDescent="0.2">
      <c r="AF555" s="1"/>
    </row>
    <row r="556" spans="32:32" ht="15.75" customHeight="1" x14ac:dyDescent="0.2">
      <c r="AF556" s="1"/>
    </row>
    <row r="557" spans="32:32" ht="15.75" customHeight="1" x14ac:dyDescent="0.2">
      <c r="AF557" s="1"/>
    </row>
    <row r="558" spans="32:32" ht="15.75" customHeight="1" x14ac:dyDescent="0.2">
      <c r="AF558" s="1"/>
    </row>
    <row r="559" spans="32:32" ht="15.75" customHeight="1" x14ac:dyDescent="0.2">
      <c r="AF559" s="1"/>
    </row>
    <row r="560" spans="32:32" ht="15.75" customHeight="1" x14ac:dyDescent="0.2">
      <c r="AF560" s="1"/>
    </row>
    <row r="561" spans="32:32" ht="15.75" customHeight="1" x14ac:dyDescent="0.2">
      <c r="AF561" s="1"/>
    </row>
    <row r="562" spans="32:32" ht="15.75" customHeight="1" x14ac:dyDescent="0.2">
      <c r="AF562" s="1"/>
    </row>
    <row r="563" spans="32:32" ht="15.75" customHeight="1" x14ac:dyDescent="0.2">
      <c r="AF563" s="1"/>
    </row>
    <row r="564" spans="32:32" ht="15.75" customHeight="1" x14ac:dyDescent="0.2">
      <c r="AF564" s="1"/>
    </row>
    <row r="565" spans="32:32" ht="15.75" customHeight="1" x14ac:dyDescent="0.2">
      <c r="AF565" s="1"/>
    </row>
    <row r="566" spans="32:32" ht="15.75" customHeight="1" x14ac:dyDescent="0.2">
      <c r="AF566" s="1"/>
    </row>
    <row r="567" spans="32:32" ht="15.75" customHeight="1" x14ac:dyDescent="0.2">
      <c r="AF567" s="1"/>
    </row>
    <row r="568" spans="32:32" ht="15.75" customHeight="1" x14ac:dyDescent="0.2">
      <c r="AF568" s="1"/>
    </row>
    <row r="569" spans="32:32" ht="15.75" customHeight="1" x14ac:dyDescent="0.2">
      <c r="AF569" s="1"/>
    </row>
    <row r="570" spans="32:32" ht="15.75" customHeight="1" x14ac:dyDescent="0.2">
      <c r="AF570" s="1"/>
    </row>
    <row r="571" spans="32:32" ht="15.75" customHeight="1" x14ac:dyDescent="0.2">
      <c r="AF571" s="1"/>
    </row>
    <row r="572" spans="32:32" ht="15.75" customHeight="1" x14ac:dyDescent="0.2">
      <c r="AF572" s="1"/>
    </row>
    <row r="573" spans="32:32" ht="15.75" customHeight="1" x14ac:dyDescent="0.2">
      <c r="AF573" s="1"/>
    </row>
    <row r="574" spans="32:32" ht="15.75" customHeight="1" x14ac:dyDescent="0.2">
      <c r="AF574" s="1"/>
    </row>
    <row r="575" spans="32:32" ht="15.75" customHeight="1" x14ac:dyDescent="0.2">
      <c r="AF575" s="1"/>
    </row>
    <row r="576" spans="32:32" ht="15.75" customHeight="1" x14ac:dyDescent="0.2">
      <c r="AF576" s="1"/>
    </row>
    <row r="577" spans="32:32" ht="15.75" customHeight="1" x14ac:dyDescent="0.2">
      <c r="AF577" s="1"/>
    </row>
    <row r="578" spans="32:32" ht="15.75" customHeight="1" x14ac:dyDescent="0.2">
      <c r="AF578" s="1"/>
    </row>
    <row r="579" spans="32:32" ht="15.75" customHeight="1" x14ac:dyDescent="0.2">
      <c r="AF579" s="1"/>
    </row>
    <row r="580" spans="32:32" ht="15.75" customHeight="1" x14ac:dyDescent="0.2">
      <c r="AF580" s="1"/>
    </row>
    <row r="581" spans="32:32" ht="15.75" customHeight="1" x14ac:dyDescent="0.2">
      <c r="AF581" s="1"/>
    </row>
    <row r="582" spans="32:32" ht="15.75" customHeight="1" x14ac:dyDescent="0.2">
      <c r="AF582" s="1"/>
    </row>
    <row r="583" spans="32:32" ht="15.75" customHeight="1" x14ac:dyDescent="0.2">
      <c r="AF583" s="1"/>
    </row>
    <row r="584" spans="32:32" ht="15.75" customHeight="1" x14ac:dyDescent="0.2">
      <c r="AF584" s="1"/>
    </row>
    <row r="585" spans="32:32" ht="15.75" customHeight="1" x14ac:dyDescent="0.2">
      <c r="AF585" s="1"/>
    </row>
    <row r="586" spans="32:32" ht="15.75" customHeight="1" x14ac:dyDescent="0.2">
      <c r="AF586" s="1"/>
    </row>
    <row r="587" spans="32:32" ht="15.75" customHeight="1" x14ac:dyDescent="0.2">
      <c r="AF587" s="1"/>
    </row>
    <row r="588" spans="32:32" ht="15.75" customHeight="1" x14ac:dyDescent="0.2">
      <c r="AF588" s="1"/>
    </row>
    <row r="589" spans="32:32" ht="15.75" customHeight="1" x14ac:dyDescent="0.2">
      <c r="AF589" s="1"/>
    </row>
    <row r="590" spans="32:32" ht="15.75" customHeight="1" x14ac:dyDescent="0.2">
      <c r="AF590" s="1"/>
    </row>
    <row r="591" spans="32:32" ht="15.75" customHeight="1" x14ac:dyDescent="0.2">
      <c r="AF591" s="1"/>
    </row>
    <row r="592" spans="32:32" ht="15.75" customHeight="1" x14ac:dyDescent="0.2">
      <c r="AF592" s="1"/>
    </row>
    <row r="593" spans="32:32" ht="15.75" customHeight="1" x14ac:dyDescent="0.2">
      <c r="AF593" s="1"/>
    </row>
    <row r="594" spans="32:32" ht="15.75" customHeight="1" x14ac:dyDescent="0.2">
      <c r="AF594" s="1"/>
    </row>
    <row r="595" spans="32:32" ht="15.75" customHeight="1" x14ac:dyDescent="0.2">
      <c r="AF595" s="1"/>
    </row>
    <row r="596" spans="32:32" ht="15.75" customHeight="1" x14ac:dyDescent="0.2">
      <c r="AF596" s="1"/>
    </row>
    <row r="597" spans="32:32" ht="15.75" customHeight="1" x14ac:dyDescent="0.2">
      <c r="AF597" s="1"/>
    </row>
    <row r="598" spans="32:32" ht="15.75" customHeight="1" x14ac:dyDescent="0.2">
      <c r="AF598" s="1"/>
    </row>
    <row r="599" spans="32:32" ht="15.75" customHeight="1" x14ac:dyDescent="0.2">
      <c r="AF599" s="1"/>
    </row>
    <row r="600" spans="32:32" ht="15.75" customHeight="1" x14ac:dyDescent="0.2">
      <c r="AF600" s="1"/>
    </row>
    <row r="601" spans="32:32" ht="15.75" customHeight="1" x14ac:dyDescent="0.2">
      <c r="AF601" s="1"/>
    </row>
    <row r="602" spans="32:32" ht="15.75" customHeight="1" x14ac:dyDescent="0.2">
      <c r="AF602" s="1"/>
    </row>
    <row r="603" spans="32:32" ht="15.75" customHeight="1" x14ac:dyDescent="0.2">
      <c r="AF603" s="1"/>
    </row>
    <row r="604" spans="32:32" ht="15.75" customHeight="1" x14ac:dyDescent="0.2">
      <c r="AF604" s="1"/>
    </row>
    <row r="605" spans="32:32" ht="15.75" customHeight="1" x14ac:dyDescent="0.2">
      <c r="AF605" s="1"/>
    </row>
    <row r="606" spans="32:32" ht="15.75" customHeight="1" x14ac:dyDescent="0.2">
      <c r="AF606" s="1"/>
    </row>
    <row r="607" spans="32:32" ht="15.75" customHeight="1" x14ac:dyDescent="0.2">
      <c r="AF607" s="1"/>
    </row>
    <row r="608" spans="32:32" ht="15.75" customHeight="1" x14ac:dyDescent="0.2">
      <c r="AF608" s="1"/>
    </row>
    <row r="609" spans="32:32" ht="15.75" customHeight="1" x14ac:dyDescent="0.2">
      <c r="AF609" s="1"/>
    </row>
    <row r="610" spans="32:32" ht="15.75" customHeight="1" x14ac:dyDescent="0.2">
      <c r="AF610" s="1"/>
    </row>
    <row r="611" spans="32:32" ht="15.75" customHeight="1" x14ac:dyDescent="0.2">
      <c r="AF611" s="1"/>
    </row>
    <row r="612" spans="32:32" ht="15.75" customHeight="1" x14ac:dyDescent="0.2">
      <c r="AF612" s="1"/>
    </row>
    <row r="613" spans="32:32" ht="15.75" customHeight="1" x14ac:dyDescent="0.2">
      <c r="AF613" s="1"/>
    </row>
    <row r="614" spans="32:32" ht="15.75" customHeight="1" x14ac:dyDescent="0.2">
      <c r="AF614" s="1"/>
    </row>
    <row r="615" spans="32:32" ht="15.75" customHeight="1" x14ac:dyDescent="0.2">
      <c r="AF615" s="1"/>
    </row>
    <row r="616" spans="32:32" ht="15.75" customHeight="1" x14ac:dyDescent="0.2">
      <c r="AF616" s="1"/>
    </row>
    <row r="617" spans="32:32" ht="15.75" customHeight="1" x14ac:dyDescent="0.2">
      <c r="AF617" s="1"/>
    </row>
    <row r="618" spans="32:32" ht="15.75" customHeight="1" x14ac:dyDescent="0.2">
      <c r="AF618" s="1"/>
    </row>
    <row r="619" spans="32:32" ht="15.75" customHeight="1" x14ac:dyDescent="0.2">
      <c r="AF619" s="1"/>
    </row>
    <row r="620" spans="32:32" ht="15.75" customHeight="1" x14ac:dyDescent="0.2">
      <c r="AF620" s="1"/>
    </row>
    <row r="621" spans="32:32" ht="15.75" customHeight="1" x14ac:dyDescent="0.2">
      <c r="AF621" s="1"/>
    </row>
    <row r="622" spans="32:32" ht="15.75" customHeight="1" x14ac:dyDescent="0.2">
      <c r="AF622" s="1"/>
    </row>
    <row r="623" spans="32:32" ht="15.75" customHeight="1" x14ac:dyDescent="0.2">
      <c r="AF623" s="1"/>
    </row>
    <row r="624" spans="32:32" ht="15.75" customHeight="1" x14ac:dyDescent="0.2">
      <c r="AF624" s="1"/>
    </row>
    <row r="625" spans="32:32" ht="15.75" customHeight="1" x14ac:dyDescent="0.2">
      <c r="AF625" s="1"/>
    </row>
    <row r="626" spans="32:32" ht="15.75" customHeight="1" x14ac:dyDescent="0.2">
      <c r="AF626" s="1"/>
    </row>
    <row r="627" spans="32:32" ht="15.75" customHeight="1" x14ac:dyDescent="0.2">
      <c r="AF627" s="1"/>
    </row>
    <row r="628" spans="32:32" ht="15.75" customHeight="1" x14ac:dyDescent="0.2">
      <c r="AF628" s="1"/>
    </row>
    <row r="629" spans="32:32" ht="15.75" customHeight="1" x14ac:dyDescent="0.2">
      <c r="AF629" s="1"/>
    </row>
    <row r="630" spans="32:32" ht="15.75" customHeight="1" x14ac:dyDescent="0.2">
      <c r="AF630" s="1"/>
    </row>
    <row r="631" spans="32:32" ht="15.75" customHeight="1" x14ac:dyDescent="0.2">
      <c r="AF631" s="1"/>
    </row>
    <row r="632" spans="32:32" ht="15.75" customHeight="1" x14ac:dyDescent="0.2">
      <c r="AF632" s="1"/>
    </row>
    <row r="633" spans="32:32" ht="15.75" customHeight="1" x14ac:dyDescent="0.2">
      <c r="AF633" s="1"/>
    </row>
    <row r="634" spans="32:32" ht="15.75" customHeight="1" x14ac:dyDescent="0.2">
      <c r="AF634" s="1"/>
    </row>
    <row r="635" spans="32:32" ht="15.75" customHeight="1" x14ac:dyDescent="0.2">
      <c r="AF635" s="1"/>
    </row>
    <row r="636" spans="32:32" ht="15.75" customHeight="1" x14ac:dyDescent="0.2">
      <c r="AF636" s="1"/>
    </row>
    <row r="637" spans="32:32" ht="15.75" customHeight="1" x14ac:dyDescent="0.2">
      <c r="AF637" s="1"/>
    </row>
    <row r="638" spans="32:32" ht="15.75" customHeight="1" x14ac:dyDescent="0.2">
      <c r="AF638" s="1"/>
    </row>
    <row r="639" spans="32:32" ht="15.75" customHeight="1" x14ac:dyDescent="0.2">
      <c r="AF639" s="1"/>
    </row>
    <row r="640" spans="32:32" ht="15.75" customHeight="1" x14ac:dyDescent="0.2">
      <c r="AF640" s="1"/>
    </row>
    <row r="641" spans="32:32" ht="15.75" customHeight="1" x14ac:dyDescent="0.2">
      <c r="AF641" s="1"/>
    </row>
    <row r="642" spans="32:32" ht="15.75" customHeight="1" x14ac:dyDescent="0.2">
      <c r="AF642" s="1"/>
    </row>
    <row r="643" spans="32:32" ht="15.75" customHeight="1" x14ac:dyDescent="0.2">
      <c r="AF643" s="1"/>
    </row>
    <row r="644" spans="32:32" ht="15.75" customHeight="1" x14ac:dyDescent="0.2">
      <c r="AF644" s="1"/>
    </row>
    <row r="645" spans="32:32" ht="15.75" customHeight="1" x14ac:dyDescent="0.2">
      <c r="AF645" s="1"/>
    </row>
    <row r="646" spans="32:32" ht="15.75" customHeight="1" x14ac:dyDescent="0.2">
      <c r="AF646" s="1"/>
    </row>
    <row r="647" spans="32:32" ht="15.75" customHeight="1" x14ac:dyDescent="0.2">
      <c r="AF647" s="1"/>
    </row>
    <row r="648" spans="32:32" ht="15.75" customHeight="1" x14ac:dyDescent="0.2">
      <c r="AF648" s="1"/>
    </row>
    <row r="649" spans="32:32" ht="15.75" customHeight="1" x14ac:dyDescent="0.2">
      <c r="AF649" s="1"/>
    </row>
    <row r="650" spans="32:32" ht="15.75" customHeight="1" x14ac:dyDescent="0.2">
      <c r="AF650" s="1"/>
    </row>
    <row r="651" spans="32:32" ht="15.75" customHeight="1" x14ac:dyDescent="0.2">
      <c r="AF651" s="1"/>
    </row>
    <row r="652" spans="32:32" ht="15.75" customHeight="1" x14ac:dyDescent="0.2">
      <c r="AF652" s="1"/>
    </row>
    <row r="653" spans="32:32" ht="15.75" customHeight="1" x14ac:dyDescent="0.2">
      <c r="AF653" s="1"/>
    </row>
    <row r="654" spans="32:32" ht="15.75" customHeight="1" x14ac:dyDescent="0.2">
      <c r="AF654" s="1"/>
    </row>
    <row r="655" spans="32:32" ht="15.75" customHeight="1" x14ac:dyDescent="0.2">
      <c r="AF655" s="1"/>
    </row>
    <row r="656" spans="32:32" ht="15.75" customHeight="1" x14ac:dyDescent="0.2">
      <c r="AF656" s="1"/>
    </row>
    <row r="657" spans="32:32" ht="15.75" customHeight="1" x14ac:dyDescent="0.2">
      <c r="AF657" s="1"/>
    </row>
    <row r="658" spans="32:32" ht="15.75" customHeight="1" x14ac:dyDescent="0.2">
      <c r="AF658" s="1"/>
    </row>
    <row r="659" spans="32:32" ht="15.75" customHeight="1" x14ac:dyDescent="0.2">
      <c r="AF659" s="1"/>
    </row>
    <row r="660" spans="32:32" ht="15.75" customHeight="1" x14ac:dyDescent="0.2">
      <c r="AF660" s="1"/>
    </row>
    <row r="661" spans="32:32" ht="15.75" customHeight="1" x14ac:dyDescent="0.2">
      <c r="AF661" s="1"/>
    </row>
    <row r="662" spans="32:32" ht="15.75" customHeight="1" x14ac:dyDescent="0.2">
      <c r="AF662" s="1"/>
    </row>
    <row r="663" spans="32:32" ht="15.75" customHeight="1" x14ac:dyDescent="0.2">
      <c r="AF663" s="1"/>
    </row>
    <row r="664" spans="32:32" ht="15.75" customHeight="1" x14ac:dyDescent="0.2">
      <c r="AF664" s="1"/>
    </row>
    <row r="665" spans="32:32" ht="15.75" customHeight="1" x14ac:dyDescent="0.2">
      <c r="AF665" s="1"/>
    </row>
    <row r="666" spans="32:32" ht="15.75" customHeight="1" x14ac:dyDescent="0.2">
      <c r="AF666" s="1"/>
    </row>
    <row r="667" spans="32:32" ht="15.75" customHeight="1" x14ac:dyDescent="0.2">
      <c r="AF667" s="1"/>
    </row>
    <row r="668" spans="32:32" ht="15.75" customHeight="1" x14ac:dyDescent="0.2">
      <c r="AF668" s="1"/>
    </row>
    <row r="669" spans="32:32" ht="15.75" customHeight="1" x14ac:dyDescent="0.2">
      <c r="AF669" s="1"/>
    </row>
    <row r="670" spans="32:32" ht="15.75" customHeight="1" x14ac:dyDescent="0.2">
      <c r="AF670" s="1"/>
    </row>
    <row r="671" spans="32:32" ht="15.75" customHeight="1" x14ac:dyDescent="0.2">
      <c r="AF671" s="1"/>
    </row>
    <row r="672" spans="32:32" ht="15.75" customHeight="1" x14ac:dyDescent="0.2">
      <c r="AF672" s="1"/>
    </row>
    <row r="673" spans="32:32" ht="15.75" customHeight="1" x14ac:dyDescent="0.2">
      <c r="AF673" s="1"/>
    </row>
    <row r="674" spans="32:32" ht="15.75" customHeight="1" x14ac:dyDescent="0.2">
      <c r="AF674" s="1"/>
    </row>
    <row r="675" spans="32:32" ht="15.75" customHeight="1" x14ac:dyDescent="0.2">
      <c r="AF675" s="1"/>
    </row>
    <row r="676" spans="32:32" ht="15.75" customHeight="1" x14ac:dyDescent="0.2">
      <c r="AF676" s="1"/>
    </row>
    <row r="677" spans="32:32" ht="15.75" customHeight="1" x14ac:dyDescent="0.2">
      <c r="AF677" s="1"/>
    </row>
    <row r="678" spans="32:32" ht="15.75" customHeight="1" x14ac:dyDescent="0.2">
      <c r="AF678" s="1"/>
    </row>
    <row r="679" spans="32:32" ht="15.75" customHeight="1" x14ac:dyDescent="0.2">
      <c r="AF679" s="1"/>
    </row>
    <row r="680" spans="32:32" ht="15.75" customHeight="1" x14ac:dyDescent="0.2">
      <c r="AF680" s="1"/>
    </row>
    <row r="681" spans="32:32" ht="15.75" customHeight="1" x14ac:dyDescent="0.2">
      <c r="AF681" s="1"/>
    </row>
    <row r="682" spans="32:32" ht="15.75" customHeight="1" x14ac:dyDescent="0.2">
      <c r="AF682" s="1"/>
    </row>
    <row r="683" spans="32:32" ht="15.75" customHeight="1" x14ac:dyDescent="0.2">
      <c r="AF683" s="1"/>
    </row>
    <row r="684" spans="32:32" ht="15.75" customHeight="1" x14ac:dyDescent="0.2">
      <c r="AF684" s="1"/>
    </row>
    <row r="685" spans="32:32" ht="15.75" customHeight="1" x14ac:dyDescent="0.2">
      <c r="AF685" s="1"/>
    </row>
    <row r="686" spans="32:32" ht="15.75" customHeight="1" x14ac:dyDescent="0.2">
      <c r="AF686" s="1"/>
    </row>
    <row r="687" spans="32:32" ht="15.75" customHeight="1" x14ac:dyDescent="0.2">
      <c r="AF687" s="1"/>
    </row>
    <row r="688" spans="32:32" ht="15.75" customHeight="1" x14ac:dyDescent="0.2">
      <c r="AF688" s="1"/>
    </row>
    <row r="689" spans="32:32" ht="15.75" customHeight="1" x14ac:dyDescent="0.2">
      <c r="AF689" s="1"/>
    </row>
    <row r="690" spans="32:32" ht="15.75" customHeight="1" x14ac:dyDescent="0.2">
      <c r="AF690" s="1"/>
    </row>
    <row r="691" spans="32:32" ht="15.75" customHeight="1" x14ac:dyDescent="0.2">
      <c r="AF691" s="1"/>
    </row>
    <row r="692" spans="32:32" ht="15.75" customHeight="1" x14ac:dyDescent="0.2">
      <c r="AF692" s="1"/>
    </row>
    <row r="693" spans="32:32" ht="15.75" customHeight="1" x14ac:dyDescent="0.2">
      <c r="AF693" s="1"/>
    </row>
    <row r="694" spans="32:32" ht="15.75" customHeight="1" x14ac:dyDescent="0.2">
      <c r="AF694" s="1"/>
    </row>
    <row r="695" spans="32:32" ht="15.75" customHeight="1" x14ac:dyDescent="0.2">
      <c r="AF695" s="1"/>
    </row>
    <row r="696" spans="32:32" ht="15.75" customHeight="1" x14ac:dyDescent="0.2">
      <c r="AF696" s="1"/>
    </row>
    <row r="697" spans="32:32" ht="15.75" customHeight="1" x14ac:dyDescent="0.2">
      <c r="AF697" s="1"/>
    </row>
    <row r="698" spans="32:32" ht="15.75" customHeight="1" x14ac:dyDescent="0.2">
      <c r="AF698" s="1"/>
    </row>
    <row r="699" spans="32:32" ht="15.75" customHeight="1" x14ac:dyDescent="0.2">
      <c r="AF699" s="1"/>
    </row>
    <row r="700" spans="32:32" ht="15.75" customHeight="1" x14ac:dyDescent="0.2">
      <c r="AF700" s="1"/>
    </row>
    <row r="701" spans="32:32" ht="15.75" customHeight="1" x14ac:dyDescent="0.2">
      <c r="AF701" s="1"/>
    </row>
    <row r="702" spans="32:32" ht="15.75" customHeight="1" x14ac:dyDescent="0.2">
      <c r="AF702" s="1"/>
    </row>
    <row r="703" spans="32:32" ht="15.75" customHeight="1" x14ac:dyDescent="0.2">
      <c r="AF703" s="1"/>
    </row>
    <row r="704" spans="32:32" ht="15.75" customHeight="1" x14ac:dyDescent="0.2">
      <c r="AF704" s="1"/>
    </row>
    <row r="705" spans="32:32" ht="15.75" customHeight="1" x14ac:dyDescent="0.2">
      <c r="AF705" s="1"/>
    </row>
    <row r="706" spans="32:32" ht="15.75" customHeight="1" x14ac:dyDescent="0.2">
      <c r="AF706" s="1"/>
    </row>
    <row r="707" spans="32:32" ht="15.75" customHeight="1" x14ac:dyDescent="0.2">
      <c r="AF707" s="1"/>
    </row>
    <row r="708" spans="32:32" ht="15.75" customHeight="1" x14ac:dyDescent="0.2">
      <c r="AF708" s="1"/>
    </row>
    <row r="709" spans="32:32" ht="15.75" customHeight="1" x14ac:dyDescent="0.2">
      <c r="AF709" s="1"/>
    </row>
    <row r="710" spans="32:32" ht="15.75" customHeight="1" x14ac:dyDescent="0.2">
      <c r="AF710" s="1"/>
    </row>
    <row r="711" spans="32:32" ht="15.75" customHeight="1" x14ac:dyDescent="0.2">
      <c r="AF711" s="1"/>
    </row>
    <row r="712" spans="32:32" ht="15.75" customHeight="1" x14ac:dyDescent="0.2">
      <c r="AF712" s="1"/>
    </row>
    <row r="713" spans="32:32" ht="15.75" customHeight="1" x14ac:dyDescent="0.2">
      <c r="AF713" s="1"/>
    </row>
    <row r="714" spans="32:32" ht="15.75" customHeight="1" x14ac:dyDescent="0.2">
      <c r="AF714" s="1"/>
    </row>
    <row r="715" spans="32:32" ht="15.75" customHeight="1" x14ac:dyDescent="0.2">
      <c r="AF715" s="1"/>
    </row>
    <row r="716" spans="32:32" ht="15.75" customHeight="1" x14ac:dyDescent="0.2">
      <c r="AF716" s="1"/>
    </row>
    <row r="717" spans="32:32" ht="15.75" customHeight="1" x14ac:dyDescent="0.2">
      <c r="AF717" s="1"/>
    </row>
    <row r="718" spans="32:32" ht="15.75" customHeight="1" x14ac:dyDescent="0.2">
      <c r="AF718" s="1"/>
    </row>
    <row r="719" spans="32:32" ht="15.75" customHeight="1" x14ac:dyDescent="0.2">
      <c r="AF719" s="1"/>
    </row>
    <row r="720" spans="32:32" ht="15.75" customHeight="1" x14ac:dyDescent="0.2">
      <c r="AF720" s="1"/>
    </row>
    <row r="721" spans="32:32" ht="15.75" customHeight="1" x14ac:dyDescent="0.2">
      <c r="AF721" s="1"/>
    </row>
    <row r="722" spans="32:32" ht="15.75" customHeight="1" x14ac:dyDescent="0.2">
      <c r="AF722" s="1"/>
    </row>
    <row r="723" spans="32:32" ht="15.75" customHeight="1" x14ac:dyDescent="0.2">
      <c r="AF723" s="1"/>
    </row>
    <row r="724" spans="32:32" ht="15.75" customHeight="1" x14ac:dyDescent="0.2">
      <c r="AF724" s="1"/>
    </row>
    <row r="725" spans="32:32" ht="15.75" customHeight="1" x14ac:dyDescent="0.2">
      <c r="AF725" s="1"/>
    </row>
    <row r="726" spans="32:32" ht="15.75" customHeight="1" x14ac:dyDescent="0.2">
      <c r="AF726" s="1"/>
    </row>
    <row r="727" spans="32:32" ht="15.75" customHeight="1" x14ac:dyDescent="0.2">
      <c r="AF727" s="1"/>
    </row>
    <row r="728" spans="32:32" ht="15.75" customHeight="1" x14ac:dyDescent="0.2">
      <c r="AF728" s="1"/>
    </row>
    <row r="729" spans="32:32" ht="15.75" customHeight="1" x14ac:dyDescent="0.2">
      <c r="AF729" s="1"/>
    </row>
    <row r="730" spans="32:32" ht="15.75" customHeight="1" x14ac:dyDescent="0.2">
      <c r="AF730" s="1"/>
    </row>
    <row r="731" spans="32:32" ht="15.75" customHeight="1" x14ac:dyDescent="0.2">
      <c r="AF731" s="1"/>
    </row>
    <row r="732" spans="32:32" ht="15.75" customHeight="1" x14ac:dyDescent="0.2">
      <c r="AF732" s="1"/>
    </row>
    <row r="733" spans="32:32" ht="15.75" customHeight="1" x14ac:dyDescent="0.2">
      <c r="AF733" s="1"/>
    </row>
    <row r="734" spans="32:32" ht="15.75" customHeight="1" x14ac:dyDescent="0.2">
      <c r="AF734" s="1"/>
    </row>
    <row r="735" spans="32:32" ht="15.75" customHeight="1" x14ac:dyDescent="0.2">
      <c r="AF735" s="1"/>
    </row>
    <row r="736" spans="32:32" ht="15.75" customHeight="1" x14ac:dyDescent="0.2">
      <c r="AF736" s="1"/>
    </row>
    <row r="737" spans="32:32" ht="15.75" customHeight="1" x14ac:dyDescent="0.2">
      <c r="AF737" s="1"/>
    </row>
    <row r="738" spans="32:32" ht="15.75" customHeight="1" x14ac:dyDescent="0.2">
      <c r="AF738" s="1"/>
    </row>
    <row r="739" spans="32:32" ht="15.75" customHeight="1" x14ac:dyDescent="0.2">
      <c r="AF739" s="1"/>
    </row>
    <row r="740" spans="32:32" ht="15.75" customHeight="1" x14ac:dyDescent="0.2">
      <c r="AF740" s="1"/>
    </row>
    <row r="741" spans="32:32" ht="15.75" customHeight="1" x14ac:dyDescent="0.2">
      <c r="AF741" s="1"/>
    </row>
    <row r="742" spans="32:32" ht="15.75" customHeight="1" x14ac:dyDescent="0.2">
      <c r="AF742" s="1"/>
    </row>
    <row r="743" spans="32:32" ht="15.75" customHeight="1" x14ac:dyDescent="0.2">
      <c r="AF743" s="1"/>
    </row>
    <row r="744" spans="32:32" ht="15.75" customHeight="1" x14ac:dyDescent="0.2">
      <c r="AF744" s="1"/>
    </row>
    <row r="745" spans="32:32" ht="15.75" customHeight="1" x14ac:dyDescent="0.2">
      <c r="AF745" s="1"/>
    </row>
    <row r="746" spans="32:32" ht="15.75" customHeight="1" x14ac:dyDescent="0.2">
      <c r="AF746" s="1"/>
    </row>
    <row r="747" spans="32:32" ht="15.75" customHeight="1" x14ac:dyDescent="0.2">
      <c r="AF747" s="1"/>
    </row>
    <row r="748" spans="32:32" ht="15.75" customHeight="1" x14ac:dyDescent="0.2">
      <c r="AF748" s="1"/>
    </row>
    <row r="749" spans="32:32" ht="15.75" customHeight="1" x14ac:dyDescent="0.2">
      <c r="AF749" s="1"/>
    </row>
    <row r="750" spans="32:32" ht="15.75" customHeight="1" x14ac:dyDescent="0.2">
      <c r="AF750" s="1"/>
    </row>
    <row r="751" spans="32:32" ht="15.75" customHeight="1" x14ac:dyDescent="0.2">
      <c r="AF751" s="1"/>
    </row>
    <row r="752" spans="32:32" ht="15.75" customHeight="1" x14ac:dyDescent="0.2">
      <c r="AF752" s="1"/>
    </row>
    <row r="753" spans="32:32" ht="15.75" customHeight="1" x14ac:dyDescent="0.2">
      <c r="AF753" s="1"/>
    </row>
    <row r="754" spans="32:32" ht="15.75" customHeight="1" x14ac:dyDescent="0.2">
      <c r="AF754" s="1"/>
    </row>
    <row r="755" spans="32:32" ht="15.75" customHeight="1" x14ac:dyDescent="0.2">
      <c r="AF755" s="1"/>
    </row>
    <row r="756" spans="32:32" ht="15.75" customHeight="1" x14ac:dyDescent="0.2">
      <c r="AF756" s="1"/>
    </row>
    <row r="757" spans="32:32" ht="15.75" customHeight="1" x14ac:dyDescent="0.2">
      <c r="AF757" s="1"/>
    </row>
    <row r="758" spans="32:32" ht="15.75" customHeight="1" x14ac:dyDescent="0.2">
      <c r="AF758" s="1"/>
    </row>
    <row r="759" spans="32:32" ht="15.75" customHeight="1" x14ac:dyDescent="0.2">
      <c r="AF759" s="1"/>
    </row>
    <row r="760" spans="32:32" ht="15.75" customHeight="1" x14ac:dyDescent="0.2">
      <c r="AF760" s="1"/>
    </row>
    <row r="761" spans="32:32" ht="15.75" customHeight="1" x14ac:dyDescent="0.2">
      <c r="AF761" s="1"/>
    </row>
    <row r="762" spans="32:32" ht="15.75" customHeight="1" x14ac:dyDescent="0.2">
      <c r="AF762" s="1"/>
    </row>
    <row r="763" spans="32:32" ht="15.75" customHeight="1" x14ac:dyDescent="0.2">
      <c r="AF763" s="1"/>
    </row>
    <row r="764" spans="32:32" ht="15.75" customHeight="1" x14ac:dyDescent="0.2">
      <c r="AF764" s="1"/>
    </row>
    <row r="765" spans="32:32" ht="15.75" customHeight="1" x14ac:dyDescent="0.2">
      <c r="AF765" s="1"/>
    </row>
    <row r="766" spans="32:32" ht="15.75" customHeight="1" x14ac:dyDescent="0.2">
      <c r="AF766" s="1"/>
    </row>
    <row r="767" spans="32:32" ht="15.75" customHeight="1" x14ac:dyDescent="0.2">
      <c r="AF767" s="1"/>
    </row>
    <row r="768" spans="32:32" ht="15.75" customHeight="1" x14ac:dyDescent="0.2">
      <c r="AF768" s="1"/>
    </row>
    <row r="769" spans="32:32" ht="15.75" customHeight="1" x14ac:dyDescent="0.2">
      <c r="AF769" s="1"/>
    </row>
    <row r="770" spans="32:32" ht="15.75" customHeight="1" x14ac:dyDescent="0.2">
      <c r="AF770" s="1"/>
    </row>
    <row r="771" spans="32:32" ht="15.75" customHeight="1" x14ac:dyDescent="0.2">
      <c r="AF771" s="1"/>
    </row>
    <row r="772" spans="32:32" ht="15.75" customHeight="1" x14ac:dyDescent="0.2">
      <c r="AF772" s="1"/>
    </row>
    <row r="773" spans="32:32" ht="15.75" customHeight="1" x14ac:dyDescent="0.2">
      <c r="AF773" s="1"/>
    </row>
    <row r="774" spans="32:32" ht="15.75" customHeight="1" x14ac:dyDescent="0.2">
      <c r="AF774" s="1"/>
    </row>
    <row r="775" spans="32:32" ht="15.75" customHeight="1" x14ac:dyDescent="0.2">
      <c r="AF775" s="1"/>
    </row>
    <row r="776" spans="32:32" ht="15.75" customHeight="1" x14ac:dyDescent="0.2">
      <c r="AF776" s="1"/>
    </row>
    <row r="777" spans="32:32" ht="15.75" customHeight="1" x14ac:dyDescent="0.2">
      <c r="AF777" s="1"/>
    </row>
    <row r="778" spans="32:32" ht="15.75" customHeight="1" x14ac:dyDescent="0.2">
      <c r="AF778" s="1"/>
    </row>
    <row r="779" spans="32:32" ht="15.75" customHeight="1" x14ac:dyDescent="0.2">
      <c r="AF779" s="1"/>
    </row>
    <row r="780" spans="32:32" ht="15.75" customHeight="1" x14ac:dyDescent="0.2">
      <c r="AF780" s="1"/>
    </row>
    <row r="781" spans="32:32" ht="15.75" customHeight="1" x14ac:dyDescent="0.2">
      <c r="AF781" s="1"/>
    </row>
    <row r="782" spans="32:32" ht="15.75" customHeight="1" x14ac:dyDescent="0.2">
      <c r="AF782" s="1"/>
    </row>
    <row r="783" spans="32:32" ht="15.75" customHeight="1" x14ac:dyDescent="0.2">
      <c r="AF783" s="1"/>
    </row>
    <row r="784" spans="32:32" ht="15.75" customHeight="1" x14ac:dyDescent="0.2">
      <c r="AF784" s="1"/>
    </row>
    <row r="785" spans="32:32" ht="15.75" customHeight="1" x14ac:dyDescent="0.2">
      <c r="AF785" s="1"/>
    </row>
    <row r="786" spans="32:32" ht="15.75" customHeight="1" x14ac:dyDescent="0.2">
      <c r="AF786" s="1"/>
    </row>
    <row r="787" spans="32:32" ht="15.75" customHeight="1" x14ac:dyDescent="0.2">
      <c r="AF787" s="1"/>
    </row>
    <row r="788" spans="32:32" ht="15.75" customHeight="1" x14ac:dyDescent="0.2">
      <c r="AF788" s="1"/>
    </row>
    <row r="789" spans="32:32" ht="15.75" customHeight="1" x14ac:dyDescent="0.2">
      <c r="AF789" s="1"/>
    </row>
    <row r="790" spans="32:32" ht="15.75" customHeight="1" x14ac:dyDescent="0.2">
      <c r="AF790" s="1"/>
    </row>
    <row r="791" spans="32:32" ht="15.75" customHeight="1" x14ac:dyDescent="0.2">
      <c r="AF791" s="1"/>
    </row>
    <row r="792" spans="32:32" ht="15.75" customHeight="1" x14ac:dyDescent="0.2">
      <c r="AF792" s="1"/>
    </row>
    <row r="793" spans="32:32" ht="15.75" customHeight="1" x14ac:dyDescent="0.2">
      <c r="AF793" s="1"/>
    </row>
    <row r="794" spans="32:32" ht="15.75" customHeight="1" x14ac:dyDescent="0.2">
      <c r="AF794" s="1"/>
    </row>
    <row r="795" spans="32:32" ht="15.75" customHeight="1" x14ac:dyDescent="0.2">
      <c r="AF795" s="1"/>
    </row>
    <row r="796" spans="32:32" ht="15.75" customHeight="1" x14ac:dyDescent="0.2">
      <c r="AF796" s="1"/>
    </row>
    <row r="797" spans="32:32" ht="15.75" customHeight="1" x14ac:dyDescent="0.2">
      <c r="AF797" s="1"/>
    </row>
    <row r="798" spans="32:32" ht="15.75" customHeight="1" x14ac:dyDescent="0.2">
      <c r="AF798" s="1"/>
    </row>
    <row r="799" spans="32:32" ht="15.75" customHeight="1" x14ac:dyDescent="0.2">
      <c r="AF799" s="1"/>
    </row>
    <row r="800" spans="32:32" ht="15.75" customHeight="1" x14ac:dyDescent="0.2">
      <c r="AF800" s="1"/>
    </row>
    <row r="801" spans="32:32" ht="15.75" customHeight="1" x14ac:dyDescent="0.2">
      <c r="AF801" s="1"/>
    </row>
    <row r="802" spans="32:32" ht="15.75" customHeight="1" x14ac:dyDescent="0.2">
      <c r="AF802" s="1"/>
    </row>
    <row r="803" spans="32:32" ht="15.75" customHeight="1" x14ac:dyDescent="0.2">
      <c r="AF803" s="1"/>
    </row>
    <row r="804" spans="32:32" ht="15.75" customHeight="1" x14ac:dyDescent="0.2">
      <c r="AF804" s="1"/>
    </row>
    <row r="805" spans="32:32" ht="15.75" customHeight="1" x14ac:dyDescent="0.2">
      <c r="AF805" s="1"/>
    </row>
    <row r="806" spans="32:32" ht="15.75" customHeight="1" x14ac:dyDescent="0.2">
      <c r="AF806" s="1"/>
    </row>
    <row r="807" spans="32:32" ht="15.75" customHeight="1" x14ac:dyDescent="0.2">
      <c r="AF807" s="1"/>
    </row>
    <row r="808" spans="32:32" ht="15.75" customHeight="1" x14ac:dyDescent="0.2">
      <c r="AF808" s="1"/>
    </row>
    <row r="809" spans="32:32" ht="15.75" customHeight="1" x14ac:dyDescent="0.2">
      <c r="AF809" s="1"/>
    </row>
    <row r="810" spans="32:32" ht="15.75" customHeight="1" x14ac:dyDescent="0.2">
      <c r="AF810" s="1"/>
    </row>
    <row r="811" spans="32:32" ht="15.75" customHeight="1" x14ac:dyDescent="0.2">
      <c r="AF811" s="1"/>
    </row>
    <row r="812" spans="32:32" ht="15.75" customHeight="1" x14ac:dyDescent="0.2">
      <c r="AF812" s="1"/>
    </row>
    <row r="813" spans="32:32" ht="15.75" customHeight="1" x14ac:dyDescent="0.2">
      <c r="AF813" s="1"/>
    </row>
    <row r="814" spans="32:32" ht="15.75" customHeight="1" x14ac:dyDescent="0.2">
      <c r="AF814" s="1"/>
    </row>
    <row r="815" spans="32:32" ht="15.75" customHeight="1" x14ac:dyDescent="0.2">
      <c r="AF815" s="1"/>
    </row>
    <row r="816" spans="32:32" ht="15.75" customHeight="1" x14ac:dyDescent="0.2">
      <c r="AF816" s="1"/>
    </row>
    <row r="817" spans="32:32" ht="15.75" customHeight="1" x14ac:dyDescent="0.2">
      <c r="AF817" s="1"/>
    </row>
    <row r="818" spans="32:32" ht="15.75" customHeight="1" x14ac:dyDescent="0.2">
      <c r="AF818" s="1"/>
    </row>
    <row r="819" spans="32:32" ht="15.75" customHeight="1" x14ac:dyDescent="0.2">
      <c r="AF819" s="1"/>
    </row>
    <row r="820" spans="32:32" ht="15.75" customHeight="1" x14ac:dyDescent="0.2">
      <c r="AF820" s="1"/>
    </row>
    <row r="821" spans="32:32" ht="15.75" customHeight="1" x14ac:dyDescent="0.2">
      <c r="AF821" s="1"/>
    </row>
    <row r="822" spans="32:32" ht="15.75" customHeight="1" x14ac:dyDescent="0.2">
      <c r="AF822" s="1"/>
    </row>
    <row r="823" spans="32:32" ht="15.75" customHeight="1" x14ac:dyDescent="0.2">
      <c r="AF823" s="1"/>
    </row>
    <row r="824" spans="32:32" ht="15.75" customHeight="1" x14ac:dyDescent="0.2">
      <c r="AF824" s="1"/>
    </row>
    <row r="825" spans="32:32" ht="15.75" customHeight="1" x14ac:dyDescent="0.2">
      <c r="AF825" s="1"/>
    </row>
    <row r="826" spans="32:32" ht="15.75" customHeight="1" x14ac:dyDescent="0.2">
      <c r="AF826" s="1"/>
    </row>
    <row r="827" spans="32:32" ht="15.75" customHeight="1" x14ac:dyDescent="0.2">
      <c r="AF827" s="1"/>
    </row>
    <row r="828" spans="32:32" ht="15.75" customHeight="1" x14ac:dyDescent="0.2">
      <c r="AF828" s="1"/>
    </row>
    <row r="829" spans="32:32" ht="15.75" customHeight="1" x14ac:dyDescent="0.2">
      <c r="AF829" s="1"/>
    </row>
    <row r="830" spans="32:32" ht="15.75" customHeight="1" x14ac:dyDescent="0.2">
      <c r="AF830" s="1"/>
    </row>
    <row r="831" spans="32:32" ht="15.75" customHeight="1" x14ac:dyDescent="0.2">
      <c r="AF831" s="1"/>
    </row>
    <row r="832" spans="32:32" ht="15.75" customHeight="1" x14ac:dyDescent="0.2">
      <c r="AF832" s="1"/>
    </row>
    <row r="833" spans="32:32" ht="15.75" customHeight="1" x14ac:dyDescent="0.2">
      <c r="AF833" s="1"/>
    </row>
    <row r="834" spans="32:32" ht="15.75" customHeight="1" x14ac:dyDescent="0.2">
      <c r="AF834" s="1"/>
    </row>
    <row r="835" spans="32:32" ht="15.75" customHeight="1" x14ac:dyDescent="0.2">
      <c r="AF835" s="1"/>
    </row>
    <row r="836" spans="32:32" ht="15.75" customHeight="1" x14ac:dyDescent="0.2">
      <c r="AF836" s="1"/>
    </row>
    <row r="837" spans="32:32" ht="15.75" customHeight="1" x14ac:dyDescent="0.2">
      <c r="AF837" s="1"/>
    </row>
    <row r="838" spans="32:32" ht="15.75" customHeight="1" x14ac:dyDescent="0.2">
      <c r="AF838" s="1"/>
    </row>
    <row r="839" spans="32:32" ht="15.75" customHeight="1" x14ac:dyDescent="0.2">
      <c r="AF839" s="1"/>
    </row>
    <row r="840" spans="32:32" ht="15.75" customHeight="1" x14ac:dyDescent="0.2">
      <c r="AF840" s="1"/>
    </row>
    <row r="841" spans="32:32" ht="15.75" customHeight="1" x14ac:dyDescent="0.2">
      <c r="AF841" s="1"/>
    </row>
    <row r="842" spans="32:32" ht="15.75" customHeight="1" x14ac:dyDescent="0.2">
      <c r="AF842" s="1"/>
    </row>
    <row r="843" spans="32:32" ht="15.75" customHeight="1" x14ac:dyDescent="0.2">
      <c r="AF843" s="1"/>
    </row>
    <row r="844" spans="32:32" ht="15.75" customHeight="1" x14ac:dyDescent="0.2">
      <c r="AF844" s="1"/>
    </row>
    <row r="845" spans="32:32" ht="15.75" customHeight="1" x14ac:dyDescent="0.2">
      <c r="AF845" s="1"/>
    </row>
    <row r="846" spans="32:32" ht="15.75" customHeight="1" x14ac:dyDescent="0.2">
      <c r="AF846" s="1"/>
    </row>
    <row r="847" spans="32:32" ht="15.75" customHeight="1" x14ac:dyDescent="0.2">
      <c r="AF847" s="1"/>
    </row>
    <row r="848" spans="32:32" ht="15.75" customHeight="1" x14ac:dyDescent="0.2">
      <c r="AF848" s="1"/>
    </row>
    <row r="849" spans="32:32" ht="15.75" customHeight="1" x14ac:dyDescent="0.2">
      <c r="AF849" s="1"/>
    </row>
    <row r="850" spans="32:32" ht="15.75" customHeight="1" x14ac:dyDescent="0.2">
      <c r="AF850" s="1"/>
    </row>
    <row r="851" spans="32:32" ht="15.75" customHeight="1" x14ac:dyDescent="0.2">
      <c r="AF851" s="1"/>
    </row>
    <row r="852" spans="32:32" ht="15.75" customHeight="1" x14ac:dyDescent="0.2">
      <c r="AF852" s="1"/>
    </row>
    <row r="853" spans="32:32" ht="15.75" customHeight="1" x14ac:dyDescent="0.2">
      <c r="AF853" s="1"/>
    </row>
    <row r="854" spans="32:32" ht="15.75" customHeight="1" x14ac:dyDescent="0.2">
      <c r="AF854" s="1"/>
    </row>
    <row r="855" spans="32:32" ht="15.75" customHeight="1" x14ac:dyDescent="0.2">
      <c r="AF855" s="1"/>
    </row>
    <row r="856" spans="32:32" ht="15.75" customHeight="1" x14ac:dyDescent="0.2">
      <c r="AF856" s="1"/>
    </row>
    <row r="857" spans="32:32" ht="15.75" customHeight="1" x14ac:dyDescent="0.2">
      <c r="AF857" s="1"/>
    </row>
    <row r="858" spans="32:32" ht="15.75" customHeight="1" x14ac:dyDescent="0.2">
      <c r="AF858" s="1"/>
    </row>
    <row r="859" spans="32:32" ht="15.75" customHeight="1" x14ac:dyDescent="0.2">
      <c r="AF859" s="1"/>
    </row>
    <row r="860" spans="32:32" ht="15.75" customHeight="1" x14ac:dyDescent="0.2">
      <c r="AF860" s="1"/>
    </row>
    <row r="861" spans="32:32" ht="15.75" customHeight="1" x14ac:dyDescent="0.2">
      <c r="AF861" s="1"/>
    </row>
    <row r="862" spans="32:32" ht="15.75" customHeight="1" x14ac:dyDescent="0.2">
      <c r="AF862" s="1"/>
    </row>
    <row r="863" spans="32:32" ht="15.75" customHeight="1" x14ac:dyDescent="0.2">
      <c r="AF863" s="1"/>
    </row>
    <row r="864" spans="32:32" ht="15.75" customHeight="1" x14ac:dyDescent="0.2">
      <c r="AF864" s="1"/>
    </row>
    <row r="865" spans="32:32" ht="15.75" customHeight="1" x14ac:dyDescent="0.2">
      <c r="AF865" s="1"/>
    </row>
    <row r="866" spans="32:32" ht="15.75" customHeight="1" x14ac:dyDescent="0.2">
      <c r="AF866" s="1"/>
    </row>
    <row r="867" spans="32:32" ht="15.75" customHeight="1" x14ac:dyDescent="0.2">
      <c r="AF867" s="1"/>
    </row>
    <row r="868" spans="32:32" ht="15.75" customHeight="1" x14ac:dyDescent="0.2">
      <c r="AF868" s="1"/>
    </row>
    <row r="869" spans="32:32" ht="15.75" customHeight="1" x14ac:dyDescent="0.2">
      <c r="AF869" s="1"/>
    </row>
    <row r="870" spans="32:32" ht="15.75" customHeight="1" x14ac:dyDescent="0.2">
      <c r="AF870" s="1"/>
    </row>
    <row r="871" spans="32:32" ht="15.75" customHeight="1" x14ac:dyDescent="0.2">
      <c r="AF871" s="1"/>
    </row>
    <row r="872" spans="32:32" ht="15.75" customHeight="1" x14ac:dyDescent="0.2">
      <c r="AF872" s="1"/>
    </row>
    <row r="873" spans="32:32" ht="15.75" customHeight="1" x14ac:dyDescent="0.2">
      <c r="AF873" s="1"/>
    </row>
    <row r="874" spans="32:32" ht="15.75" customHeight="1" x14ac:dyDescent="0.2">
      <c r="AF874" s="1"/>
    </row>
    <row r="875" spans="32:32" ht="15.75" customHeight="1" x14ac:dyDescent="0.2">
      <c r="AF875" s="1"/>
    </row>
    <row r="876" spans="32:32" ht="15.75" customHeight="1" x14ac:dyDescent="0.2">
      <c r="AF876" s="1"/>
    </row>
    <row r="877" spans="32:32" ht="15.75" customHeight="1" x14ac:dyDescent="0.2">
      <c r="AF877" s="1"/>
    </row>
    <row r="878" spans="32:32" ht="15.75" customHeight="1" x14ac:dyDescent="0.2">
      <c r="AF878" s="1"/>
    </row>
    <row r="879" spans="32:32" ht="15.75" customHeight="1" x14ac:dyDescent="0.2">
      <c r="AF879" s="1"/>
    </row>
    <row r="880" spans="32:32" ht="15.75" customHeight="1" x14ac:dyDescent="0.2">
      <c r="AF880" s="1"/>
    </row>
    <row r="881" spans="32:32" ht="15.75" customHeight="1" x14ac:dyDescent="0.2">
      <c r="AF881" s="1"/>
    </row>
    <row r="882" spans="32:32" ht="15.75" customHeight="1" x14ac:dyDescent="0.2">
      <c r="AF882" s="1"/>
    </row>
    <row r="883" spans="32:32" ht="15.75" customHeight="1" x14ac:dyDescent="0.2">
      <c r="AF883" s="1"/>
    </row>
    <row r="884" spans="32:32" ht="15.75" customHeight="1" x14ac:dyDescent="0.2">
      <c r="AF884" s="1"/>
    </row>
    <row r="885" spans="32:32" ht="15.75" customHeight="1" x14ac:dyDescent="0.2">
      <c r="AF885" s="1"/>
    </row>
    <row r="886" spans="32:32" ht="15.75" customHeight="1" x14ac:dyDescent="0.2">
      <c r="AF886" s="1"/>
    </row>
    <row r="887" spans="32:32" ht="15.75" customHeight="1" x14ac:dyDescent="0.2">
      <c r="AF887" s="1"/>
    </row>
    <row r="888" spans="32:32" ht="15.75" customHeight="1" x14ac:dyDescent="0.2">
      <c r="AF888" s="1"/>
    </row>
    <row r="889" spans="32:32" ht="15.75" customHeight="1" x14ac:dyDescent="0.2">
      <c r="AF889" s="1"/>
    </row>
    <row r="890" spans="32:32" ht="15.75" customHeight="1" x14ac:dyDescent="0.2">
      <c r="AF890" s="1"/>
    </row>
    <row r="891" spans="32:32" ht="15.75" customHeight="1" x14ac:dyDescent="0.2">
      <c r="AF891" s="1"/>
    </row>
    <row r="892" spans="32:32" ht="15.75" customHeight="1" x14ac:dyDescent="0.2">
      <c r="AF892" s="1"/>
    </row>
    <row r="893" spans="32:32" ht="15.75" customHeight="1" x14ac:dyDescent="0.2">
      <c r="AF893" s="1"/>
    </row>
    <row r="894" spans="32:32" ht="15.75" customHeight="1" x14ac:dyDescent="0.2">
      <c r="AF894" s="1"/>
    </row>
    <row r="895" spans="32:32" ht="15.75" customHeight="1" x14ac:dyDescent="0.2">
      <c r="AF895" s="1"/>
    </row>
    <row r="896" spans="32:32" ht="15.75" customHeight="1" x14ac:dyDescent="0.2">
      <c r="AF896" s="1"/>
    </row>
    <row r="897" spans="32:32" ht="15.75" customHeight="1" x14ac:dyDescent="0.2">
      <c r="AF897" s="1"/>
    </row>
    <row r="898" spans="32:32" ht="15.75" customHeight="1" x14ac:dyDescent="0.2">
      <c r="AF898" s="1"/>
    </row>
    <row r="899" spans="32:32" ht="15.75" customHeight="1" x14ac:dyDescent="0.2">
      <c r="AF899" s="1"/>
    </row>
    <row r="900" spans="32:32" ht="15.75" customHeight="1" x14ac:dyDescent="0.2">
      <c r="AF900" s="1"/>
    </row>
    <row r="901" spans="32:32" ht="15.75" customHeight="1" x14ac:dyDescent="0.2">
      <c r="AF901" s="1"/>
    </row>
    <row r="902" spans="32:32" ht="15.75" customHeight="1" x14ac:dyDescent="0.2">
      <c r="AF902" s="1"/>
    </row>
    <row r="903" spans="32:32" ht="15.75" customHeight="1" x14ac:dyDescent="0.2">
      <c r="AF903" s="1"/>
    </row>
    <row r="904" spans="32:32" ht="15.75" customHeight="1" x14ac:dyDescent="0.2">
      <c r="AF904" s="1"/>
    </row>
    <row r="905" spans="32:32" ht="15.75" customHeight="1" x14ac:dyDescent="0.2">
      <c r="AF905" s="1"/>
    </row>
    <row r="906" spans="32:32" ht="15.75" customHeight="1" x14ac:dyDescent="0.2">
      <c r="AF906" s="1"/>
    </row>
    <row r="907" spans="32:32" ht="15.75" customHeight="1" x14ac:dyDescent="0.2">
      <c r="AF907" s="1"/>
    </row>
    <row r="908" spans="32:32" ht="15.75" customHeight="1" x14ac:dyDescent="0.2">
      <c r="AF908" s="1"/>
    </row>
    <row r="909" spans="32:32" ht="15.75" customHeight="1" x14ac:dyDescent="0.2">
      <c r="AF909" s="1"/>
    </row>
    <row r="910" spans="32:32" ht="15.75" customHeight="1" x14ac:dyDescent="0.2">
      <c r="AF910" s="1"/>
    </row>
    <row r="911" spans="32:32" ht="15.75" customHeight="1" x14ac:dyDescent="0.2">
      <c r="AF911" s="1"/>
    </row>
    <row r="912" spans="32:32" ht="15.75" customHeight="1" x14ac:dyDescent="0.2">
      <c r="AF912" s="1"/>
    </row>
    <row r="913" spans="32:32" ht="15.75" customHeight="1" x14ac:dyDescent="0.2">
      <c r="AF913" s="1"/>
    </row>
    <row r="914" spans="32:32" ht="15.75" customHeight="1" x14ac:dyDescent="0.2">
      <c r="AF914" s="1"/>
    </row>
    <row r="915" spans="32:32" ht="15.75" customHeight="1" x14ac:dyDescent="0.2">
      <c r="AF915" s="1"/>
    </row>
    <row r="916" spans="32:32" ht="15.75" customHeight="1" x14ac:dyDescent="0.2">
      <c r="AF916" s="1"/>
    </row>
    <row r="917" spans="32:32" ht="15.75" customHeight="1" x14ac:dyDescent="0.2">
      <c r="AF917" s="1"/>
    </row>
    <row r="918" spans="32:32" ht="15.75" customHeight="1" x14ac:dyDescent="0.2">
      <c r="AF918" s="1"/>
    </row>
    <row r="919" spans="32:32" ht="15.75" customHeight="1" x14ac:dyDescent="0.2">
      <c r="AF919" s="1"/>
    </row>
    <row r="920" spans="32:32" ht="15.75" customHeight="1" x14ac:dyDescent="0.2">
      <c r="AF920" s="1"/>
    </row>
    <row r="921" spans="32:32" ht="15.75" customHeight="1" x14ac:dyDescent="0.2">
      <c r="AF921" s="1"/>
    </row>
    <row r="922" spans="32:32" ht="15.75" customHeight="1" x14ac:dyDescent="0.2">
      <c r="AF922" s="1"/>
    </row>
    <row r="923" spans="32:32" ht="15.75" customHeight="1" x14ac:dyDescent="0.2">
      <c r="AF923" s="1"/>
    </row>
    <row r="924" spans="32:32" ht="15.75" customHeight="1" x14ac:dyDescent="0.2">
      <c r="AF924" s="1"/>
    </row>
    <row r="925" spans="32:32" ht="15.75" customHeight="1" x14ac:dyDescent="0.2">
      <c r="AF925" s="1"/>
    </row>
    <row r="926" spans="32:32" ht="15.75" customHeight="1" x14ac:dyDescent="0.2">
      <c r="AF926" s="1"/>
    </row>
    <row r="927" spans="32:32" ht="15.75" customHeight="1" x14ac:dyDescent="0.2">
      <c r="AF927" s="1"/>
    </row>
    <row r="928" spans="32:32" ht="15.75" customHeight="1" x14ac:dyDescent="0.2">
      <c r="AF928" s="1"/>
    </row>
    <row r="929" spans="32:32" ht="15.75" customHeight="1" x14ac:dyDescent="0.2">
      <c r="AF929" s="1"/>
    </row>
    <row r="930" spans="32:32" ht="15.75" customHeight="1" x14ac:dyDescent="0.2">
      <c r="AF930" s="1"/>
    </row>
    <row r="931" spans="32:32" ht="15.75" customHeight="1" x14ac:dyDescent="0.2">
      <c r="AF931" s="1"/>
    </row>
    <row r="932" spans="32:32" ht="15.75" customHeight="1" x14ac:dyDescent="0.2">
      <c r="AF932" s="1"/>
    </row>
    <row r="933" spans="32:32" ht="15.75" customHeight="1" x14ac:dyDescent="0.2">
      <c r="AF933" s="1"/>
    </row>
    <row r="934" spans="32:32" ht="15.75" customHeight="1" x14ac:dyDescent="0.2">
      <c r="AF934" s="1"/>
    </row>
    <row r="935" spans="32:32" ht="15.75" customHeight="1" x14ac:dyDescent="0.2">
      <c r="AF935" s="1"/>
    </row>
    <row r="936" spans="32:32" ht="15.75" customHeight="1" x14ac:dyDescent="0.2">
      <c r="AF936" s="1"/>
    </row>
    <row r="937" spans="32:32" ht="15.75" customHeight="1" x14ac:dyDescent="0.2">
      <c r="AF937" s="1"/>
    </row>
    <row r="938" spans="32:32" ht="15.75" customHeight="1" x14ac:dyDescent="0.2">
      <c r="AF938" s="1"/>
    </row>
    <row r="939" spans="32:32" ht="15.75" customHeight="1" x14ac:dyDescent="0.2">
      <c r="AF939" s="1"/>
    </row>
    <row r="940" spans="32:32" ht="15.75" customHeight="1" x14ac:dyDescent="0.2">
      <c r="AF940" s="1"/>
    </row>
    <row r="941" spans="32:32" ht="15.75" customHeight="1" x14ac:dyDescent="0.2">
      <c r="AF941" s="1"/>
    </row>
    <row r="942" spans="32:32" ht="15.75" customHeight="1" x14ac:dyDescent="0.2">
      <c r="AF942" s="1"/>
    </row>
    <row r="943" spans="32:32" ht="15.75" customHeight="1" x14ac:dyDescent="0.2">
      <c r="AF943" s="1"/>
    </row>
    <row r="944" spans="32:32" ht="15.75" customHeight="1" x14ac:dyDescent="0.2">
      <c r="AF944" s="1"/>
    </row>
    <row r="945" spans="32:32" ht="15.75" customHeight="1" x14ac:dyDescent="0.2">
      <c r="AF945" s="1"/>
    </row>
    <row r="946" spans="32:32" ht="15.75" customHeight="1" x14ac:dyDescent="0.2">
      <c r="AF946" s="1"/>
    </row>
    <row r="947" spans="32:32" ht="15.75" customHeight="1" x14ac:dyDescent="0.2">
      <c r="AF947" s="1"/>
    </row>
    <row r="948" spans="32:32" ht="15.75" customHeight="1" x14ac:dyDescent="0.2">
      <c r="AF948" s="1"/>
    </row>
    <row r="949" spans="32:32" ht="15.75" customHeight="1" x14ac:dyDescent="0.2">
      <c r="AF949" s="1"/>
    </row>
    <row r="950" spans="32:32" ht="15.75" customHeight="1" x14ac:dyDescent="0.2">
      <c r="AF950" s="1"/>
    </row>
    <row r="951" spans="32:32" ht="15.75" customHeight="1" x14ac:dyDescent="0.2">
      <c r="AF951" s="1"/>
    </row>
    <row r="952" spans="32:32" ht="15.75" customHeight="1" x14ac:dyDescent="0.2">
      <c r="AF952" s="1"/>
    </row>
    <row r="953" spans="32:32" ht="15.75" customHeight="1" x14ac:dyDescent="0.2">
      <c r="AF953" s="1"/>
    </row>
    <row r="954" spans="32:32" ht="15.75" customHeight="1" x14ac:dyDescent="0.2">
      <c r="AF954" s="1"/>
    </row>
    <row r="955" spans="32:32" ht="15.75" customHeight="1" x14ac:dyDescent="0.2">
      <c r="AF955" s="1"/>
    </row>
    <row r="956" spans="32:32" ht="15.75" customHeight="1" x14ac:dyDescent="0.2">
      <c r="AF956" s="1"/>
    </row>
    <row r="957" spans="32:32" ht="15.75" customHeight="1" x14ac:dyDescent="0.2">
      <c r="AF957" s="1"/>
    </row>
    <row r="958" spans="32:32" ht="15.75" customHeight="1" x14ac:dyDescent="0.2">
      <c r="AF958" s="1"/>
    </row>
    <row r="959" spans="32:32" ht="15.75" customHeight="1" x14ac:dyDescent="0.2">
      <c r="AF959" s="1"/>
    </row>
    <row r="960" spans="32:32" ht="15.75" customHeight="1" x14ac:dyDescent="0.2">
      <c r="AF960" s="1"/>
    </row>
    <row r="961" spans="32:32" ht="15.75" customHeight="1" x14ac:dyDescent="0.2">
      <c r="AF961" s="1"/>
    </row>
    <row r="962" spans="32:32" ht="15.75" customHeight="1" x14ac:dyDescent="0.2">
      <c r="AF962" s="1"/>
    </row>
    <row r="963" spans="32:32" ht="15.75" customHeight="1" x14ac:dyDescent="0.2">
      <c r="AF963" s="1"/>
    </row>
    <row r="964" spans="32:32" ht="15.75" customHeight="1" x14ac:dyDescent="0.2">
      <c r="AF964" s="1"/>
    </row>
    <row r="965" spans="32:32" ht="15.75" customHeight="1" x14ac:dyDescent="0.2">
      <c r="AF965" s="1"/>
    </row>
    <row r="966" spans="32:32" ht="15.75" customHeight="1" x14ac:dyDescent="0.2">
      <c r="AF966" s="1"/>
    </row>
    <row r="967" spans="32:32" ht="15.75" customHeight="1" x14ac:dyDescent="0.2">
      <c r="AF967" s="1"/>
    </row>
    <row r="968" spans="32:32" ht="15.75" customHeight="1" x14ac:dyDescent="0.2">
      <c r="AF968" s="1"/>
    </row>
    <row r="969" spans="32:32" ht="15.75" customHeight="1" x14ac:dyDescent="0.2">
      <c r="AF969" s="1"/>
    </row>
    <row r="970" spans="32:32" ht="15.75" customHeight="1" x14ac:dyDescent="0.2">
      <c r="AF970" s="1"/>
    </row>
    <row r="971" spans="32:32" ht="15.75" customHeight="1" x14ac:dyDescent="0.2">
      <c r="AF971" s="1"/>
    </row>
    <row r="972" spans="32:32" ht="15.75" customHeight="1" x14ac:dyDescent="0.2">
      <c r="AF972" s="1"/>
    </row>
    <row r="973" spans="32:32" ht="15.75" customHeight="1" x14ac:dyDescent="0.2">
      <c r="AF973" s="1"/>
    </row>
    <row r="974" spans="32:32" ht="15.75" customHeight="1" x14ac:dyDescent="0.2">
      <c r="AF974" s="1"/>
    </row>
    <row r="975" spans="32:32" ht="15.75" customHeight="1" x14ac:dyDescent="0.2">
      <c r="AF975" s="1"/>
    </row>
    <row r="976" spans="32:32" ht="15.75" customHeight="1" x14ac:dyDescent="0.2">
      <c r="AF976" s="1"/>
    </row>
    <row r="977" spans="32:32" ht="15.75" customHeight="1" x14ac:dyDescent="0.2">
      <c r="AF977" s="1"/>
    </row>
    <row r="978" spans="32:32" ht="15.75" customHeight="1" x14ac:dyDescent="0.2">
      <c r="AF978" s="1"/>
    </row>
    <row r="979" spans="32:32" ht="15.75" customHeight="1" x14ac:dyDescent="0.2">
      <c r="AF979" s="1"/>
    </row>
    <row r="980" spans="32:32" ht="15.75" customHeight="1" x14ac:dyDescent="0.2">
      <c r="AF980" s="1"/>
    </row>
    <row r="981" spans="32:32" ht="15.75" customHeight="1" x14ac:dyDescent="0.2">
      <c r="AF981" s="1"/>
    </row>
    <row r="982" spans="32:32" ht="15.75" customHeight="1" x14ac:dyDescent="0.2">
      <c r="AF982" s="1"/>
    </row>
    <row r="983" spans="32:32" ht="15.75" customHeight="1" x14ac:dyDescent="0.2">
      <c r="AF983" s="1"/>
    </row>
    <row r="984" spans="32:32" ht="15.75" customHeight="1" x14ac:dyDescent="0.2">
      <c r="AF984" s="1"/>
    </row>
    <row r="985" spans="32:32" ht="15.75" customHeight="1" x14ac:dyDescent="0.2">
      <c r="AF985" s="1"/>
    </row>
    <row r="986" spans="32:32" ht="15.75" customHeight="1" x14ac:dyDescent="0.2">
      <c r="AF986" s="1"/>
    </row>
    <row r="987" spans="32:32" ht="15.75" customHeight="1" x14ac:dyDescent="0.2">
      <c r="AF987" s="1"/>
    </row>
    <row r="988" spans="32:32" ht="15.75" customHeight="1" x14ac:dyDescent="0.2">
      <c r="AF988" s="1"/>
    </row>
    <row r="989" spans="32:32" ht="15.75" customHeight="1" x14ac:dyDescent="0.2">
      <c r="AF989" s="1"/>
    </row>
    <row r="990" spans="32:32" ht="15.75" customHeight="1" x14ac:dyDescent="0.2">
      <c r="AF990" s="1"/>
    </row>
    <row r="991" spans="32:32" ht="15.75" customHeight="1" x14ac:dyDescent="0.2">
      <c r="AF991" s="1"/>
    </row>
    <row r="992" spans="32:32" ht="15.75" customHeight="1" x14ac:dyDescent="0.2">
      <c r="AF992" s="1"/>
    </row>
    <row r="993" spans="32:32" ht="15.75" customHeight="1" x14ac:dyDescent="0.2">
      <c r="AF993" s="1"/>
    </row>
    <row r="994" spans="32:32" ht="15.75" customHeight="1" x14ac:dyDescent="0.2">
      <c r="AF994" s="1"/>
    </row>
    <row r="995" spans="32:32" ht="15.75" customHeight="1" x14ac:dyDescent="0.2">
      <c r="AF995" s="1"/>
    </row>
    <row r="996" spans="32:32" ht="15.75" customHeight="1" x14ac:dyDescent="0.2">
      <c r="AF996" s="1"/>
    </row>
    <row r="997" spans="32:32" ht="15.75" customHeight="1" x14ac:dyDescent="0.2">
      <c r="AF997" s="1"/>
    </row>
    <row r="998" spans="32:32" ht="15.75" customHeight="1" x14ac:dyDescent="0.2">
      <c r="AF998" s="1"/>
    </row>
    <row r="999" spans="32:32" ht="15.75" customHeight="1" x14ac:dyDescent="0.2">
      <c r="AF999" s="1"/>
    </row>
  </sheetData>
  <mergeCells count="1">
    <mergeCell ref="A2:B2"/>
  </mergeCells>
  <conditionalFormatting sqref="Z33:AA33">
    <cfRule type="cellIs" dxfId="1" priority="1" operator="greaterThanOrEqual">
      <formula>0</formula>
    </cfRule>
  </conditionalFormatting>
  <conditionalFormatting sqref="Z33:AA33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Brown</cp:lastModifiedBy>
  <dcterms:modified xsi:type="dcterms:W3CDTF">2023-12-23T05:15:43Z</dcterms:modified>
</cp:coreProperties>
</file>